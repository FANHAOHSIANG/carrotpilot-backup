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w.sales\Downloads\"/>
    </mc:Choice>
  </mc:AlternateContent>
  <xr:revisionPtr revIDLastSave="0" documentId="8_{FA5CF307-46F5-4AAE-8C2B-DA9B0984831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  <sheet name="CP設定檔(2023 IONIQ5)_bac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47731F-7F9F-41D1-B42E-3BC8086AD6CE}" keepAlive="1" name="Query - CP設定檔(2023 IONIQ5)_backup" description="Connection to the 'CP設定檔(2023 IONIQ5)_backup' query in the workbook." type="5" refreshedVersion="0" background="1">
    <dbPr connection="Provider=Microsoft.Mashup.OleDb.1;Data Source=$Workbook$;Location=&quot;CP設定檔(2023 IONIQ5)_backup&quot;;Extended Properties=&quot;&quot;" command="SELECT * FROM [CP設定檔(2023 IONIQ5)_backup]"/>
  </connection>
  <connection id="2" xr16:uid="{72F38285-888E-4515-9CE8-7472BED4287E}" keepAlive="1" name="Query - CP設定檔(2023 IONIQ5)_backup (2)" description="Connection to the 'CP設定檔(2023 IONIQ5)_backup (2)' query in the workbook." type="5" refreshedVersion="0" background="1">
    <dbPr connection="Provider=Microsoft.Mashup.OleDb.1;Data Source=$Workbook$;Location=&quot;CP設定檔(2023 IONIQ5)_backup (2)&quot;;Extended Properties=&quot;&quot;" command="SELECT * FROM [CP設定檔(2023 IONIQ5)_backup (2)]"/>
  </connection>
  <connection id="3" xr16:uid="{A659228A-54A2-456D-A6C3-C496D1BFD16D}" keepAlive="1" name="Query - CP設定檔(2023 IONIQ5)_backup (3)" description="Connection to the 'CP設定檔(2023 IONIQ5)_backup (3)' query in the workbook." type="5" refreshedVersion="0" background="1">
    <dbPr connection="Provider=Microsoft.Mashup.OleDb.1;Data Source=$Workbook$;Location=&quot;CP設定檔(2023 IONIQ5)_backup (3)&quot;;Extended Properties=&quot;&quot;" command="SELECT * FROM [CP設定檔(2023 IONIQ5)_backup (3)]"/>
  </connection>
</connections>
</file>

<file path=xl/sharedStrings.xml><?xml version="1.0" encoding="utf-8"?>
<sst xmlns="http://schemas.openxmlformats.org/spreadsheetml/2006/main" count="627" uniqueCount="488">
  <si>
    <t>CP功能设置说明</t>
  </si>
  <si>
    <t>萝卜设置</t>
  </si>
  <si>
    <t>参数名称</t>
  </si>
  <si>
    <t>中文描述</t>
  </si>
  <si>
    <t>备注说明</t>
  </si>
  <si>
    <t>设备说明</t>
  </si>
  <si>
    <t>最小值</t>
  </si>
  <si>
    <t>最大值</t>
  </si>
  <si>
    <t>步长</t>
  </si>
  <si>
    <t>开始菜单</t>
  </si>
  <si>
    <t>HyundaiCameraSCC</t>
  </si>
  <si>
    <t>现代：摄像头 SCC (0)</t>
  </si>
  <si>
    <t>1: 连接 SCC 的 CAN 线到摄像头，2: 同步定速状态，3: 原厂长控，不是用摄像头实现 SCC 的均设置为 0</t>
  </si>
  <si>
    <t>（本页菜单不要调整，对本车型请保持默认设置，不要进行修改）</t>
  </si>
  <si>
    <t>CanfdHDA2</t>
  </si>
  <si>
    <t>CANFD: HDA2 模式</t>
  </si>
  <si>
    <t>1:HDA2, 2:HDA2 + 盲点监测，一般非 CanFD 车型设置为 0</t>
  </si>
  <si>
    <t>EnableRadarTracks</t>
  </si>
  <si>
    <t>启用雷达追踪 (1)</t>
  </si>
  <si>
    <t>1: 启用雷达追踪，-1,2: 禁用 (始终使用 HKG SCC 雷达)，胜达设置为 1, 改变值后需要重启车辆</t>
  </si>
  <si>
    <t>EnableEscc</t>
  </si>
  <si>
    <t>启用 ESCC (1)</t>
  </si>
  <si>
    <t>1: 启用 ESCC, 0: 禁用，改变值后需要重启车辆</t>
  </si>
  <si>
    <t>AutoCruiseControl</t>
  </si>
  <si>
    <t>自动巡航控制 (0)</t>
  </si>
  <si>
    <t>自动巡航总开关，0 - 关，&gt;1 开，&gt;1 softmode1 否则 softmode2</t>
  </si>
  <si>
    <t>CruiseOnDist</t>
  </si>
  <si>
    <t>定速：自动开启距离 (0cm)</t>
  </si>
  <si>
    <t>当油门 / 刹车未踩下时，前车靠近自动开启定速</t>
  </si>
  <si>
    <t>AutoEngage</t>
  </si>
  <si>
    <t>车辆启动时自动开启的功能</t>
  </si>
  <si>
    <t>1: 车道保持启用，2: 车道保持 + 定速启用</t>
  </si>
  <si>
    <t>AutoGasTokSpeed</t>
  </si>
  <si>
    <t>轻踩油门开启巡航的速度</t>
  </si>
  <si>
    <t>当车速大于此速度时，轻点油门巡航速度加 10，也可自动开启巡航，前提是 ' 自动巡航控制 ' 必须要打开</t>
  </si>
  <si>
    <t>SpeedFromPCM</t>
  </si>
  <si>
    <t>从 PCM 读取定速速度 (2)</t>
  </si>
  <si>
    <t>丰田必须设为 1, 本田设为 3，默认为 2</t>
  </si>
  <si>
    <t>SoundVolumeAdjust</t>
  </si>
  <si>
    <t>提示音音量 (100%)</t>
  </si>
  <si>
    <t>-</t>
  </si>
  <si>
    <t>SoundVolumeAdjustEngage</t>
  </si>
  <si>
    <t>接管提示音音量 (100%)</t>
  </si>
  <si>
    <t>MaxTimeOffroadMin</t>
  </si>
  <si>
    <t>熄屏时间 (分钟)</t>
  </si>
  <si>
    <t>EnableConnect</t>
  </si>
  <si>
    <t>启用远程连接</t>
  </si>
  <si>
    <t>您的设备可能会被 Comma 封禁</t>
  </si>
  <si>
    <t>MapboxStyle</t>
  </si>
  <si>
    <t>地图样式 (0)</t>
  </si>
  <si>
    <t>RecordRoadCam</t>
  </si>
  <si>
    <t>记录前置摄像头 (0)</t>
  </si>
  <si>
    <t>1: 前置，2: 前置 + 广角前置</t>
  </si>
  <si>
    <t>HDPuse</t>
  </si>
  <si>
    <t>使用 HDP (CCNC)(0)</t>
  </si>
  <si>
    <t>1: 使用 APN 时，2: 始终启用</t>
  </si>
  <si>
    <t>NNFF</t>
  </si>
  <si>
    <t>Twilsonco 的 NNFF (需重启)</t>
  </si>
  <si>
    <t>NNFFLite</t>
  </si>
  <si>
    <t>NNFF 精简版</t>
  </si>
  <si>
    <t>Twilsonco 的 NNFF-Lite (需重启)</t>
  </si>
  <si>
    <t>AutoGasSyncSpeed</t>
  </si>
  <si>
    <t>松油门保持巡航速度</t>
  </si>
  <si>
    <t>0 - 关闭，1 - 开启，当开启此功能时，如果踩油门且当前车速高于巡航速度，巡航速度会自动调整为当前车速</t>
  </si>
  <si>
    <t>DisableMinSteerSpeed</t>
  </si>
  <si>
    <t>禁用最小转向速度限制</t>
  </si>
  <si>
    <t>DisableDM</t>
  </si>
  <si>
    <t>禁用疲劳监测 (DM)</t>
  </si>
  <si>
    <t>HotspotOnBoot</t>
  </si>
  <si>
    <t>开机启用热点</t>
  </si>
  <si>
    <t>SoftwareMenu</t>
  </si>
  <si>
    <t>启用软件菜单</t>
  </si>
  <si>
    <t>IsLdwsCar</t>
  </si>
  <si>
    <t>是否 LDWS 车型</t>
  </si>
  <si>
    <t>巡航菜单</t>
  </si>
  <si>
    <t>TFollowGap1</t>
  </si>
  <si>
    <t>跟车时间 GAP1 (110) x0.01s</t>
  </si>
  <si>
    <t>fast模式跟车时距</t>
  </si>
  <si>
    <t>时距的简单理解就是多少秒后到达前方位置，配合驾驶模式使用</t>
  </si>
  <si>
    <t>TFollowGap2</t>
  </si>
  <si>
    <t>跟车时间 GAP2 (120) x0.01s</t>
  </si>
  <si>
    <t>norm模式跟车时距</t>
  </si>
  <si>
    <t>TFollowGap3</t>
  </si>
  <si>
    <t>跟车时间 GAP3 (160) x0.01s</t>
  </si>
  <si>
    <t>safe模式跟车时距</t>
  </si>
  <si>
    <t>TFollowGap4</t>
  </si>
  <si>
    <t>跟车时间 GAP4 (180) x0.01s</t>
  </si>
  <si>
    <t>eco模式跟车时距</t>
  </si>
  <si>
    <t>DynamicTFollow</t>
  </si>
  <si>
    <t>动态跟车 GAP 控制</t>
  </si>
  <si>
    <t>这个跟车不稳定，设置0</t>
  </si>
  <si>
    <t>DynamicTFollowLC</t>
  </si>
  <si>
    <t>动态跟车 GAP 控制 (变道)</t>
  </si>
  <si>
    <t>变道时的前车临时时距</t>
  </si>
  <si>
    <t>MyDrivingMode</t>
  </si>
  <si>
    <t>驾驶模式选择</t>
  </si>
  <si>
    <t>1: eco，2:safe，3: norm，4: fast</t>
  </si>
  <si>
    <t xml:space="preserve">使用场景建议
Eco: 城市驾驶、注重燃油经济性、长途巡航、跟车稳定缓慢
Safe: 复杂交通、恶劣天气、新驾驶员、跟车稳定缓慢
Normal: 日常高速驾驶、平衡需求、跟车距离略近
fast: 空旷道路、经验丰富的驾驶员、运动驾驶、这个模式不识别红绿灯、自己知道在干什么
</t>
  </si>
  <si>
    <t>MyDrivingModeAuto</t>
  </si>
  <si>
    <t>驾驶模式自动</t>
  </si>
  <si>
    <t>0: 关闭，1: 开启 (仅普通模式)</t>
  </si>
  <si>
    <r>
      <rPr>
        <sz val="10.5"/>
        <color rgb="FF000000"/>
        <rFont val="微软雅黑"/>
        <family val="2"/>
      </rPr>
      <t>自动模式检测仅在 Safe 和 Normal 之间切换，不会自动切换到 Eco 或 High 模式。状态切换规则
进入 Safe 模式（拥堵判定）
前车距离 ≤ 12m 且前车速度 ≤ 2 km/h
返回 Normal 模式（畅通判定）
满足以下任一条件：
前车加速度 &gt; 1.5 m/s</t>
    </r>
    <r>
      <rPr>
        <sz val="10.5"/>
        <color rgb="FF000000"/>
        <rFont val="宋体"/>
      </rPr>
      <t>²</t>
    </r>
    <r>
      <rPr>
        <sz val="10.5"/>
        <color rgb="FF000000"/>
        <rFont val="微软雅黑"/>
        <family val="2"/>
      </rPr>
      <t xml:space="preserve">
本车速度 &gt; 35 km/h
前车距离 ≥ 200m</t>
    </r>
  </si>
  <si>
    <t>TrafficLightDetectMode</t>
  </si>
  <si>
    <t>红绿灯检测模式</t>
  </si>
  <si>
    <t>0: 无，1: 仅停止，2: 停走模式</t>
  </si>
  <si>
    <t>导航菜单</t>
  </si>
  <si>
    <t>RoadType</t>
  </si>
  <si>
    <t>手动设置道路类型 (-1)</t>
  </si>
  <si>
    <t>-2: 从导航获取 (&gt;=85 快速路，&gt;=100 高速，公路类型由导航决定),-1: 自动 (&lt;85km/h 公路，&gt;=85 快速路，&gt;=100 高速)，0: 高速 (无应急车道) 1: 高速 (有应急车道), &gt;=2: 其它道路</t>
  </si>
  <si>
    <t>根据车速、限速来分辨当前什么路</t>
  </si>
  <si>
    <t>SameSpiCamFilter</t>
  </si>
  <si>
    <t>过滤相同测速数据 (1)</t>
  </si>
  <si>
    <t>0: 关闭，1: 打开</t>
  </si>
  <si>
    <t>不相干的菜单</t>
  </si>
  <si>
    <t>StockBlinkerCtrl</t>
  </si>
  <si>
    <t>外接控制原车转向拔杆 (0)</t>
  </si>
  <si>
    <t>ExtBlinkerCtrlTest</t>
  </si>
  <si>
    <t>外接控制器自检 (1)</t>
  </si>
  <si>
    <t>BlinkerMode</t>
  </si>
  <si>
    <t>手动打灯控制模式 (0)</t>
  </si>
  <si>
    <t>0: 自动，1: 仅变道</t>
  </si>
  <si>
    <t>LaneStabTime</t>
  </si>
  <si>
    <t>车道数稳定时间 (10x0.1s)</t>
  </si>
  <si>
    <t>当检测车道数稳定时间超过设定值后，则认为已经稳定，单位为 0.1 秒</t>
  </si>
  <si>
    <t>系统检测车道时超过设定值x0.1秒时认定车道稳定</t>
  </si>
  <si>
    <t>BsdDelayTime</t>
  </si>
  <si>
    <t>后盲区有车延时 (20x0.1s)</t>
  </si>
  <si>
    <t>当后盲区有车信号消失后，经过延时的秒数后允许变道</t>
  </si>
  <si>
    <t>时间为设定值x0.1秒</t>
  </si>
  <si>
    <t>SideBsdDelayTime</t>
  </si>
  <si>
    <t>侧前方有车延时 (20x0.1s)</t>
  </si>
  <si>
    <t>当侧前方有车信号消失后，经过延时的秒数后允许变道</t>
  </si>
  <si>
    <t>SideRelDistTime</t>
  </si>
  <si>
    <t>侧前方有车变道相对距离</t>
  </si>
  <si>
    <t>当与侧前方车辆相对距离小于本车速度 x 时间时不允许变道，单位 0.1 秒</t>
  </si>
  <si>
    <t>理解为越小越容易变道</t>
  </si>
  <si>
    <t>SidevRelDistTime</t>
  </si>
  <si>
    <t>侧前方有车变道等效距离</t>
  </si>
  <si>
    <t>侧前方车辆速度 x3 + 相对距离小于本车速度 x (时间 + 3) 时，不允许变道，单位 0.1 秒</t>
  </si>
  <si>
    <t>SideRadarMinDist</t>
  </si>
  <si>
    <t>侧面最小雷达距离 (0m)</t>
  </si>
  <si>
    <t>在左右两侧的车道上，忽略小于此雷达探测距离的车辆，单位为 0.1m</t>
  </si>
  <si>
    <t>侧面设置无效</t>
  </si>
  <si>
    <t>AutoForkDistOffsetH</t>
  </si>
  <si>
    <t>H 提前靠边行驶距离 (1000m)</t>
  </si>
  <si>
    <t>在距离匝道口多少米时开始变道到最侧面车道，设置为 0 则不提前变道</t>
  </si>
  <si>
    <t>高速道路相关设置</t>
  </si>
  <si>
    <t>AutoEnTurnNewLaneTimeH</t>
  </si>
  <si>
    <t>H 继续变道新车道时间 (0s)</t>
  </si>
  <si>
    <t>车辆已在最侧边车道，若新车道出现的时间超过设置值后允许再次变道，推荐值 20 秒，0 关闭</t>
  </si>
  <si>
    <t>AutoDoForkDecalDistH</t>
  </si>
  <si>
    <t>H 进匝道减速距离偏移 (50m)</t>
  </si>
  <si>
    <t>在距离匝道口多少米时开始减速，软件根据速度计算的距离加上此偏移为实际距离</t>
  </si>
  <si>
    <t>AutoDoForkBlinkerDistH</t>
  </si>
  <si>
    <t>H 进匝道打灯距离偏移 (30m)</t>
  </si>
  <si>
    <t>在距离匝道口多少米时开始打转身灯准备变道，但不是一定会立即变道，还需要等匝道出现的条件成立，软件根据速度计算的距离加上此偏移为实际距离</t>
  </si>
  <si>
    <t>AutoDoForkNavDistH</t>
  </si>
  <si>
    <t>H 进匝道转向距离 (50m)</t>
  </si>
  <si>
    <t>在距离导航匝道口小于多少米时开始变道进入匝道，此距离为绝对距离，0 - 不生效</t>
  </si>
  <si>
    <t>AutoForkDecalRateH</t>
  </si>
  <si>
    <t>H 进匝道前降速比率 (80%)</t>
  </si>
  <si>
    <t>在进匝道口把车速降至道路限速的比率，0 表示关闭此功能</t>
  </si>
  <si>
    <t>AutoForkSpeedMinH</t>
  </si>
  <si>
    <t>H 进匝道最低速度 (60)</t>
  </si>
  <si>
    <t>在进匝道口前允许把车速降至的最低速度，低于此速度时则不再继续降低</t>
  </si>
  <si>
    <t>AutoKeepForkSpeedH</t>
  </si>
  <si>
    <t>H 进匝道保持速度时间 (0s)</t>
  </si>
  <si>
    <t>进了匝道口后保持当前速度行驶的时间，0 - 关闭</t>
  </si>
  <si>
    <t>AutoForkDistOffset</t>
  </si>
  <si>
    <t>L 提前靠边行驶距离 (30m)</t>
  </si>
  <si>
    <t>在距离公路分叉口多少米时开始变道到最侧面车道，设置为 0 则不提前变道</t>
  </si>
  <si>
    <t>普通道路设置</t>
  </si>
  <si>
    <t>AutoEnTurnNewLaneTime</t>
  </si>
  <si>
    <t>L 继续变道新车道时间 (0s)</t>
  </si>
  <si>
    <t>车辆已在最侧边车道，若新车道出现的时间超过设置值后允许再次变道，推荐值 5 秒，0 关闭</t>
  </si>
  <si>
    <t>AutoDoForkDecalDist</t>
  </si>
  <si>
    <t>L 进匝道减速距离偏移 (20m)</t>
  </si>
  <si>
    <t>在距离公路分叉口多少米时开始减速，软件根据速度计算的距离加上此偏移为实际距离</t>
  </si>
  <si>
    <t>AutoDoForkBlinkerDist</t>
  </si>
  <si>
    <t>L 进匝道打灯距离偏移 (15m)</t>
  </si>
  <si>
    <t>在距离公路分叉口多少米时提前打转向灯准备变道，但不是一定会立即变道，还需要等分叉口出现的条件成立，软件根据速度计算的距离加上此偏移为实际距离</t>
  </si>
  <si>
    <t>AutoDoForkNavDist</t>
  </si>
  <si>
    <t>L 进匝道转向距离 (20m)</t>
  </si>
  <si>
    <t>AutoForkDecalRate</t>
  </si>
  <si>
    <t>L 进匝道前降速比率 (80%)</t>
  </si>
  <si>
    <t>在进公路分叉口时把车速降至道路限速的比率，0 表示关闭此功能</t>
  </si>
  <si>
    <t>AutoForkSpeedMin</t>
  </si>
  <si>
    <t>L 进匝道最低速度 (45)</t>
  </si>
  <si>
    <t>在进公路分叉口时前允许把车速降至的最低速度，低于此速度时则不再继续降低</t>
  </si>
  <si>
    <t>AutoKeepForkSpeed</t>
  </si>
  <si>
    <t>L 进匝道保持速度时间 (0s)</t>
  </si>
  <si>
    <t>进了分叉口后保持当前速度行驶的时间，0 - 关闭</t>
  </si>
  <si>
    <t>NewLaneWidthDiff</t>
  </si>
  <si>
    <t>ATC 新车道出现标准 (0.8m)</t>
  </si>
  <si>
    <t>当侧面的车道在 1 秒内的宽度增加这个宽度时，则认为有新车道出现，推荐设置 0.8m，1 代表 0.1m</t>
  </si>
  <si>
    <t>开启导航后的一些设置项目</t>
  </si>
  <si>
    <t>AutoTurnDistOffset</t>
  </si>
  <si>
    <t>ATC 自动转弯距离偏移 (0m)</t>
  </si>
  <si>
    <t>提前自动转弯的距离，一般为 0，仅针对转弯类型 (非变道)</t>
  </si>
  <si>
    <t>AutoTurnInNotRoadEdge</t>
  </si>
  <si>
    <t>ATC 非侧边车道允许变道 (0)</t>
  </si>
  <si>
    <t>0 - 不允许在非侧边车道自动变道，1 - 允许</t>
  </si>
  <si>
    <t>ContinuousLaneChange</t>
  </si>
  <si>
    <t>ATC 允许连续变道 (0)</t>
  </si>
  <si>
    <t>0 - 关闭，1 - 允许连续变多条车道</t>
  </si>
  <si>
    <t>ContinuousLaneChangeCnt</t>
  </si>
  <si>
    <t>ATC 允许连续变道次数 (x+1)</t>
  </si>
  <si>
    <t>允许连续变道的次数 = x+1 次</t>
  </si>
  <si>
    <t>ContinuousLaneChangeInterval</t>
  </si>
  <si>
    <t>ATC 连续变道间隔 (2 秒)</t>
  </si>
  <si>
    <t>变道后允许再次变道的时间间隔 (秒)</t>
  </si>
  <si>
    <t>AutoTurnLeft</t>
  </si>
  <si>
    <t>ATC 允许自动左变道 (0)</t>
  </si>
  <si>
    <t>0 - 需要驾驶员打左转向灯变道，1 - 允许自动左变道</t>
  </si>
  <si>
    <t>AutoUpRoadLimit</t>
  </si>
  <si>
    <t>提高 60 以下的公路限速 (0)</t>
  </si>
  <si>
    <t>0 - 关闭，1 - 当普通公路限速低于 60km/h 时，会把道路限速加上提速偏移值</t>
  </si>
  <si>
    <t>主要是允许超过导航给出的限速来行驶</t>
  </si>
  <si>
    <t>AutoUpRoadLimit40KMH</t>
  </si>
  <si>
    <t>40 以下公路提速 (15km/h)</t>
  </si>
  <si>
    <t>允许提高限速时，会把道路限速加上此提速偏移值</t>
  </si>
  <si>
    <t>AutoUpHighwayRoadLimit</t>
  </si>
  <si>
    <t>提高 60 以下的高速限速 (0)</t>
  </si>
  <si>
    <t>0 - 关闭，1 - 当高速公路限速低于 60km/h 时，会把道路限速加上提速偏移值</t>
  </si>
  <si>
    <t>AutoUpHighwayRoadLimit40KMH</t>
  </si>
  <si>
    <t>40 以下高速提速 (20km/h)</t>
  </si>
  <si>
    <t>速度菜单</t>
  </si>
  <si>
    <t>AutoCurveSpeedLowerLimit</t>
  </si>
  <si>
    <t>弯道：转弯最低降速限制 (30)</t>
  </si>
  <si>
    <t>用于限制视觉转弯降速和地图转弯降速的最小速度</t>
  </si>
  <si>
    <t>我目前配置的最低是15，不要去修改它</t>
  </si>
  <si>
    <t>AutoCurveSpeedFactor</t>
  </si>
  <si>
    <t>弯道：降速弯道曲率系数 (100%)</t>
  </si>
  <si>
    <t>模型预测横摆角速度 * 此系数，系数越大降速越多</t>
  </si>
  <si>
    <t>调大减速越早，调小减速越晚</t>
  </si>
  <si>
    <t>AutoCurveSpeedAggressiveness</t>
  </si>
  <si>
    <t>弯道：降速横向加速度系数 (100%)</t>
  </si>
  <si>
    <t>目标横向加速度 * 此系数，系数越小降速越多</t>
  </si>
  <si>
    <t>调小减速越猛，调大减速越宽松</t>
  </si>
  <si>
    <t>AutoCurveSpeedFactorH</t>
  </si>
  <si>
    <t>高速：降速弯道曲率系数 (100%)</t>
  </si>
  <si>
    <t>与上面一样，是高速道路独有的</t>
  </si>
  <si>
    <t>AutoCurveSpeedAggressivenessH</t>
  </si>
  <si>
    <t>高速：降速横向加速度系数 (100%)</t>
  </si>
  <si>
    <t>AutoRoadSpeedLimitOffset</t>
  </si>
  <si>
    <t>道路限速偏移 (-1)</t>
  </si>
  <si>
    <t>-1: 不启用 (如果不想道路限速生效，设置为 - 1), 其他值：限速 = 道路限速 + 此偏移值</t>
  </si>
  <si>
    <t>这个不启用即可，意义不大</t>
  </si>
  <si>
    <t>AutoRoadSpeedAdjust</t>
  </si>
  <si>
    <t>自动调整道路限速 (50%)</t>
  </si>
  <si>
    <t>当道路限速发生变化时，按此比例平滑调整到新限速，&lt;0 时，则用限速 * 测速点安全系数或限速 + 偏移</t>
  </si>
  <si>
    <t>AutoNaviSpeedCtrlEnd</t>
  </si>
  <si>
    <t>测速点减速结束点 (6 秒)</t>
  </si>
  <si>
    <t>设置减速完成点，数值越大减速越提前完成</t>
  </si>
  <si>
    <t>据测速点的提前减速时间</t>
  </si>
  <si>
    <t>AutoNaviSpeedCtrlMode</t>
  </si>
  <si>
    <t>导航限速控制模式 (3)</t>
  </si>
  <si>
    <t>0: 关闭，1: 测速摄像头，2:+ 减速带，3:+ 移动测速</t>
  </si>
  <si>
    <t>0就是关闭导航限速，用3基本上就是根据导航限速跑了</t>
  </si>
  <si>
    <t>AutoNaviSpeedDecelRate</t>
  </si>
  <si>
    <r>
      <rPr>
        <sz val="12"/>
        <color rgb="FF000000"/>
        <rFont val="微软雅黑"/>
        <family val="2"/>
      </rPr>
      <t>测速点减速率 x0.01m/s</t>
    </r>
    <r>
      <rPr>
        <sz val="12"/>
        <color rgb="FF000000"/>
        <rFont val="宋体"/>
      </rPr>
      <t>²</t>
    </r>
    <r>
      <rPr>
        <sz val="12"/>
        <color rgb="FF000000"/>
        <rFont val="微软雅黑"/>
        <family val="2"/>
      </rPr>
      <t>(80)</t>
    </r>
  </si>
  <si>
    <t>数值越小，越早开始减速</t>
  </si>
  <si>
    <t>导航限速触发后减速系数，越小越积极减速</t>
  </si>
  <si>
    <t>AutoNaviSpeedSafetyFactor</t>
  </si>
  <si>
    <t>测速点安全系数 (105%)</t>
  </si>
  <si>
    <t>(1) 测速摄像头限速值的比例系数，限速 = 摄像头限速值 * 比例，(2) 在特定条件下也作用于道路限速的计算，在 Auto speed up 中使用</t>
  </si>
  <si>
    <t>限速x105%，一般不用动，默认就好</t>
  </si>
  <si>
    <t>AutoNaviSpeedBumpTime</t>
  </si>
  <si>
    <t>减速带时间距离 (1 秒)</t>
  </si>
  <si>
    <t>高德中没有相关数据，先不管吧</t>
  </si>
  <si>
    <t>AutoNaviSpeedBumpSpeed</t>
  </si>
  <si>
    <t>减速带通过速度 (35Km/h)</t>
  </si>
  <si>
    <t>AutoNaviCountDownMode</t>
  </si>
  <si>
    <t>导航倒计时模式 (0)</t>
  </si>
  <si>
    <t>0: 关闭，1: 转向 + 摄像头，2: 转向 + 摄像头 + 减速带</t>
  </si>
  <si>
    <t>没发现什么实际意义</t>
  </si>
  <si>
    <t>TurnSpeedControlMode</t>
  </si>
  <si>
    <t>转弯速度控制模式 (1)</t>
  </si>
  <si>
    <t>0: 关闭，1: 视觉，2: 视觉 + 路线，3: 路线</t>
  </si>
  <si>
    <t>1纯视觉就够用了</t>
  </si>
  <si>
    <t>MapTurnSpeedFactor</t>
  </si>
  <si>
    <t>地图转弯速度系数 (100%)</t>
  </si>
  <si>
    <t>在使用地图转弯速度时，实际转弯速度 = 地图速度 * x%，在转弯速度控制模式为 2 或 3 时生效</t>
  </si>
  <si>
    <t>上面为23时，地图速度会×这个系数计算，高德没有这个数据，不管</t>
  </si>
  <si>
    <t>AutoTurnControl</t>
  </si>
  <si>
    <t>ATC: 自动转弯控制 (0)</t>
  </si>
  <si>
    <t>0: 无，1: 变道，2: 变道 + 减速，3: 减速</t>
  </si>
  <si>
    <t>导航时的控制情况，2就是控制变道和减速</t>
  </si>
  <si>
    <t>AutoTurnControlSpeedTurn</t>
  </si>
  <si>
    <t>ATC: 转弯速度 (20)</t>
  </si>
  <si>
    <t>0: 无，转弯速度</t>
  </si>
  <si>
    <t>开了导航后转弯最低限速为20</t>
  </si>
  <si>
    <t>AutoTurnControlTurnEnd</t>
  </si>
  <si>
    <t>ATC: 转弯结束时间 (6)</t>
  </si>
  <si>
    <t>距离 = 速度 * 时间</t>
  </si>
  <si>
    <t>用于计算在转向或分叉路口需要提前多少距离开始减速，这里的速度单位为米/秒</t>
  </si>
  <si>
    <t>AutoTurnMapChange</t>
  </si>
  <si>
    <t>ATC 自动地图切换 (0)</t>
  </si>
  <si>
    <t>没有用mapbox，暂时不开启这个</t>
  </si>
  <si>
    <t>调节菜单</t>
  </si>
  <si>
    <t>UseLaneLineSpeed</t>
  </si>
  <si>
    <t>车道线模式速度 (0)</t>
  </si>
  <si>
    <t>车道线模式，使用 lat_mpc 控制</t>
  </si>
  <si>
    <t>lanemode，启动时屏幕下方有显示，区别于laneless模式，这里设置的时最小启动车速</t>
  </si>
  <si>
    <t>UseLaneLineCurveSpeed</t>
  </si>
  <si>
    <t>车道线模式弯道速度 (0)</t>
  </si>
  <si>
    <t>车道线模式，仅在高速时生效</t>
  </si>
  <si>
    <t>表示启用该功能的最小速度阈值（受限制于上面的参数）开启后车道线模式会有一套独立的弯道减速和vtsc无关</t>
  </si>
  <si>
    <t>AdjustLaneOffset</t>
  </si>
  <si>
    <t>车道偏移调整 (0) cm</t>
  </si>
  <si>
    <t>正值：偏向左侧车道边界
负值：偏向右侧车道边界</t>
  </si>
  <si>
    <t>AdjustCurveOffset</t>
  </si>
  <si>
    <t>弯道偏移调整 (0) cm</t>
  </si>
  <si>
    <t>正值：向弯道内侧偏移（内切，减少离心力）
负值：向弯道外侧偏移（外扩，增加安全距离）</t>
  </si>
  <si>
    <t>LaneChangeNeedTorque</t>
  </si>
  <si>
    <t>轻推方向变道</t>
  </si>
  <si>
    <t>-1: 禁用变道，0: 无需轻推方向，1: 需要轻推方向变道</t>
  </si>
  <si>
    <t>指变道时需要动一下方向盘确认</t>
  </si>
  <si>
    <t>AutoLaneChangeMinSpeed</t>
  </si>
  <si>
    <t>打灯变道最低速度</t>
  </si>
  <si>
    <t>低于这个速度打灯不自动变道</t>
  </si>
  <si>
    <t>低于多少速度打灯不自动变道</t>
  </si>
  <si>
    <t>LaneChangeDelay</t>
  </si>
  <si>
    <t>变道延迟</t>
  </si>
  <si>
    <t>单位 x0.1 秒</t>
  </si>
  <si>
    <t>打灯多久后进行变道，设定值x0.1秒</t>
  </si>
  <si>
    <t>LaneChangeBsd</t>
  </si>
  <si>
    <t>变道盲区 BSD 设置</t>
  </si>
  <si>
    <t>-1: 忽略 BSD, 0: 检测 BSD (轻推方向盘可变道), 1: 轻推方向盘不变道</t>
  </si>
  <si>
    <t>只能设0，其他的不安全啊</t>
  </si>
  <si>
    <t>CustomSR</t>
  </si>
  <si>
    <t>横向：自定义方向盘比 x0.1 (0)</t>
  </si>
  <si>
    <t>CustomSR 自定义转向比，设置为 0 表示使用自学习的值。胜达建议设置 165x0.1</t>
  </si>
  <si>
    <t>15.3-16.2之间都还行</t>
  </si>
  <si>
    <t>SteerRatioRate</t>
  </si>
  <si>
    <t>横向：转向比应用速率 x0.01 (100)</t>
  </si>
  <si>
    <t>SteerRatioRate 转向比应用速率，实时学习得到的 SteerRatio 会乘上这个系数作为最终的转向比</t>
  </si>
  <si>
    <t>PathOffset</t>
  </si>
  <si>
    <t>横向：路径偏移</t>
  </si>
  <si>
    <t>(-) 左偏，(+) 右偏</t>
  </si>
  <si>
    <t>SteerActuatorDelay</t>
  </si>
  <si>
    <t>横向：转向执行器延迟 (30)</t>
  </si>
  <si>
    <t>SteerActuatorDelay, x0.01, 0: 使用自学习的延迟，其它值指定延迟</t>
  </si>
  <si>
    <t>40效果还行，适当还可以大点</t>
  </si>
  <si>
    <t>LateralTorqueCustom</t>
  </si>
  <si>
    <t>横向：自定义扭矩模式 (0)</t>
  </si>
  <si>
    <t>LateralTorqueCustom,0 使用自学习的扭矩因子和摩擦，1 使用自定义，2 使用默认值</t>
  </si>
  <si>
    <t>角度控制车型不涉及</t>
  </si>
  <si>
    <t>LateralTorqueAccelFactor</t>
  </si>
  <si>
    <t>横向：扭矩加速度因子 (2500)</t>
  </si>
  <si>
    <t>LateralTorqueFriction</t>
  </si>
  <si>
    <t>横向：扭矩摩擦补偿 (100)</t>
  </si>
  <si>
    <t>CustomSteerMax</t>
  </si>
  <si>
    <t>横向：自定义最大转向力 (0)</t>
  </si>
  <si>
    <t>CustomSteerDeltaUp</t>
  </si>
  <si>
    <t>横向：转向增量上升 (0)</t>
  </si>
  <si>
    <t>方向盘角度增大时速率</t>
  </si>
  <si>
    <t>CustomSteerDeltaDown</t>
  </si>
  <si>
    <t>横向：转向增量下降 (0)</t>
  </si>
  <si>
    <t>反向盘回正时的速率</t>
  </si>
  <si>
    <t>LongTuningKpV</t>
  </si>
  <si>
    <t>纵向: P 增益 (100)</t>
  </si>
  <si>
    <t>不懂算法别动</t>
  </si>
  <si>
    <t>LongTuningKiV</t>
  </si>
  <si>
    <t>纵向: I 增益 (0)</t>
  </si>
  <si>
    <t>LongTuningKf</t>
  </si>
  <si>
    <t>纵向: FF 增益 (100)</t>
  </si>
  <si>
    <t>LongActuatorDelay</t>
  </si>
  <si>
    <t>纵向：执行器延迟 (20)</t>
  </si>
  <si>
    <t>VEgoStopping</t>
  </si>
  <si>
    <t>纵向：车辆停止速度 (50)</t>
  </si>
  <si>
    <t>停止因子 VEgoStopping，单位 0.1m/s，低于此速度时判定为停车状态</t>
  </si>
  <si>
    <t>RadarReactionFactor</t>
  </si>
  <si>
    <t>纵向：雷达反应因子 (100)</t>
  </si>
  <si>
    <t>越低数据相应越快，目前不要改</t>
  </si>
  <si>
    <t>StoppingAccel</t>
  </si>
  <si>
    <t>纵向：停车时的减速度 x0.01 (-40)</t>
  </si>
  <si>
    <t>别动，危险</t>
  </si>
  <si>
    <t>StopDistanceCarrot</t>
  </si>
  <si>
    <t>纵向：停车距离 (600) cm</t>
  </si>
  <si>
    <t>目前融合原车停车，这个距离设置无效</t>
  </si>
  <si>
    <t>JLeadFactor3</t>
  </si>
  <si>
    <t>纵向：加加速度前车因子 (0)</t>
  </si>
  <si>
    <t>x0.01</t>
  </si>
  <si>
    <t>未使用这个参数，好像无效</t>
  </si>
  <si>
    <t>CruiseMaxVals0</t>
  </si>
  <si>
    <t>加速：0km/h (160)</t>
  </si>
  <si>
    <t>指定速度下所需加速度 (x0.01m/s^2)</t>
  </si>
  <si>
    <t>在对应速度下没有前车等限制的时候的加速度，然后利用这几个数值插值计算的曲线，来计算当前的加速度越大越快，可以推背</t>
  </si>
  <si>
    <t>CruiseMaxVals1</t>
  </si>
  <si>
    <t>加速：10km/h (160)</t>
  </si>
  <si>
    <t>CruiseMaxVals2</t>
  </si>
  <si>
    <t>加速：40km/h (120)</t>
  </si>
  <si>
    <t>CruiseMaxVals3</t>
  </si>
  <si>
    <t>加速：60km/h (100)</t>
  </si>
  <si>
    <t>CruiseMaxVals4</t>
  </si>
  <si>
    <t>加速：80km/h (80)</t>
  </si>
  <si>
    <t>CruiseMaxVals5</t>
  </si>
  <si>
    <t>加速：110km/h (70)</t>
  </si>
  <si>
    <t>CruiseMaxVals6</t>
  </si>
  <si>
    <t>加速：140km/h (60)</t>
  </si>
  <si>
    <t>MaxAngleFrames</t>
  </si>
  <si>
    <t>最大转角帧数 (89)</t>
  </si>
  <si>
    <t>89: 默认，仪表盘转向错误 85~87</t>
  </si>
  <si>
    <t>目前来看帧数影响不大，现在80</t>
  </si>
  <si>
    <t>120</t>
  </si>
  <si>
    <t>main_zh-CHS</t>
  </si>
  <si>
    <t>0.2.0</t>
  </si>
  <si>
    <t>Hyundai Ioniq 5 (Southeast Asia and Europe only) 2022-24</t>
  </si>
  <si>
    <t>范大 數值</t>
  </si>
  <si>
    <t>AChangeCostStarting</t>
  </si>
  <si>
    <t>ActivateCruiseAfterBrake</t>
  </si>
  <si>
    <t>ApplyModelSpeed</t>
  </si>
  <si>
    <t>AutoSpeedUptoRoadSpeedLimit</t>
  </si>
  <si>
    <t>CameraYawTrimDeg</t>
  </si>
  <si>
    <t>CancelButtonMode</t>
  </si>
  <si>
    <t>CanfdDebug</t>
  </si>
  <si>
    <t>CarrotCruiseAtcDecel</t>
  </si>
  <si>
    <t>CarrotCruiseDecel</t>
  </si>
  <si>
    <t>CarSelected3</t>
  </si>
  <si>
    <t>CompletedTrainingVersion</t>
  </si>
  <si>
    <t>CruiseButtonLongDelay</t>
  </si>
  <si>
    <t>CruiseButtonMode</t>
  </si>
  <si>
    <t>CruiseButtonTest1</t>
  </si>
  <si>
    <t>CruiseButtonTest2</t>
  </si>
  <si>
    <t>CruiseButtonTest3</t>
  </si>
  <si>
    <t>CruiseEcoControl</t>
  </si>
  <si>
    <t>CruiseSpeed1</t>
  </si>
  <si>
    <t>CruiseSpeed2</t>
  </si>
  <si>
    <t>CruiseSpeed3</t>
  </si>
  <si>
    <t>CruiseSpeed4</t>
  </si>
  <si>
    <t>CruiseSpeed5</t>
  </si>
  <si>
    <t>CruiseSpeedUnit</t>
  </si>
  <si>
    <t>CruiseSpeedUnitBasic</t>
  </si>
  <si>
    <t>CustomSteerDeltaDownLC</t>
  </si>
  <si>
    <t>CustomSteerDeltaUpLC</t>
  </si>
  <si>
    <t>DisengageOnAccelerator</t>
  </si>
  <si>
    <t>EnableCornerRadar</t>
  </si>
  <si>
    <t>EnableSpeedTF</t>
  </si>
  <si>
    <t>EVTable</t>
  </si>
  <si>
    <t>GsmMetered</t>
  </si>
  <si>
    <t>HapticFeedbackWhenSpeedCamera</t>
  </si>
  <si>
    <t>HardwareC3xLite</t>
  </si>
  <si>
    <t>HasAcceptedTerms</t>
  </si>
  <si>
    <t>LaneLineCheck</t>
  </si>
  <si>
    <t>LanguageSetting</t>
  </si>
  <si>
    <t>LateralTorqueKd</t>
  </si>
  <si>
    <t>LateralTorqueKf</t>
  </si>
  <si>
    <t>LateralTorqueKiV</t>
  </si>
  <si>
    <t>LateralTorqueKpV</t>
  </si>
  <si>
    <t>LatMpcAccelCost</t>
  </si>
  <si>
    <t>LatMpcInputOffset</t>
  </si>
  <si>
    <t>LatMpcJerkCost</t>
  </si>
  <si>
    <t>LatMpcMotionCost</t>
  </si>
  <si>
    <t>LatMpcPathCost</t>
  </si>
  <si>
    <t>LatMpcSteeringRateCost</t>
  </si>
  <si>
    <t>LatSmoothSec</t>
  </si>
  <si>
    <t>LatSuspendAngleDeg</t>
  </si>
  <si>
    <t>LfaButtonMode</t>
  </si>
  <si>
    <t>LongitudinalPersonality</t>
  </si>
  <si>
    <t>LongitudinalPersonalityMax</t>
  </si>
  <si>
    <t>LongPitch</t>
  </si>
  <si>
    <t>ModelTurnSpeedFactor</t>
  </si>
  <si>
    <t>MuteDoor</t>
  </si>
  <si>
    <t>MuteSeatbelt</t>
  </si>
  <si>
    <t>OpenpilotEnabledToggle</t>
  </si>
  <si>
    <t>PaddleMode</t>
  </si>
  <si>
    <t>RadarLatFactor</t>
  </si>
  <si>
    <t>RouteCount</t>
  </si>
  <si>
    <t>ShareData</t>
  </si>
  <si>
    <t>ShowCustomBrightness</t>
  </si>
  <si>
    <t>ShowDateTime</t>
  </si>
  <si>
    <t>ShowDebugUI</t>
  </si>
  <si>
    <t>ShowDeviceState</t>
  </si>
  <si>
    <t>ShowLaneInfo</t>
  </si>
  <si>
    <t>ShowPathColor</t>
  </si>
  <si>
    <t>ShowPathColorCruiseOff</t>
  </si>
  <si>
    <t>ShowPathColorLane</t>
  </si>
  <si>
    <t>ShowPathEnd</t>
  </si>
  <si>
    <t>ShowPathMode</t>
  </si>
  <si>
    <t>ShowPathModeLane</t>
  </si>
  <si>
    <t>ShowPlotMode</t>
  </si>
  <si>
    <t>ShowRadarInfo</t>
  </si>
  <si>
    <t>ShowRouteInfo</t>
  </si>
  <si>
    <t>ShowTpms</t>
  </si>
  <si>
    <t>SoftHoldMode</t>
  </si>
  <si>
    <t>TFollowDecelBoost</t>
  </si>
  <si>
    <t>TrafficStopDistanceAdjust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</si>
</sst>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charset val="134"/>
      <scheme val="minor"/>
    </font>
    <font>
      <sz val="11"/>
      <color rgb="FF000000"/>
      <name val="微软雅黑"/>
      <family val="2"/>
    </font>
    <font>
      <sz val="11"/>
      <color theme="1"/>
      <name val="微软雅黑"/>
      <family val="2"/>
    </font>
    <font>
      <sz val="12"/>
      <color rgb="FF000000"/>
      <name val="微软雅黑"/>
      <family val="2"/>
    </font>
    <font>
      <sz val="10.5"/>
      <color rgb="FF000000"/>
      <name val="微软雅黑"/>
      <family val="2"/>
    </font>
    <font>
      <sz val="12"/>
      <color rgb="FF000000"/>
      <name val="宋体"/>
    </font>
    <font>
      <sz val="10.5"/>
      <color rgb="FF000000"/>
      <name val="宋体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0" fillId="4" borderId="3" xfId="0" applyFill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abSelected="1" topLeftCell="A121" zoomScale="70" zoomScaleNormal="70" workbookViewId="0">
      <selection activeCell="L7" sqref="L7"/>
    </sheetView>
  </sheetViews>
  <sheetFormatPr defaultColWidth="8.7109375" defaultRowHeight="15"/>
  <cols>
    <col min="2" max="2" width="33" customWidth="1"/>
    <col min="3" max="3" width="28" customWidth="1"/>
    <col min="4" max="4" width="30.7109375" style="2" customWidth="1"/>
    <col min="5" max="5" width="30.7109375" customWidth="1"/>
    <col min="9" max="9" width="15.140625" customWidth="1"/>
  </cols>
  <sheetData>
    <row r="1" spans="1:9">
      <c r="A1" s="15" t="s">
        <v>0</v>
      </c>
      <c r="B1" s="16"/>
      <c r="C1" s="16"/>
      <c r="D1" s="17"/>
      <c r="E1" s="16"/>
      <c r="F1" s="16"/>
      <c r="G1" s="16"/>
      <c r="H1" s="16"/>
    </row>
    <row r="2" spans="1:9">
      <c r="A2" s="16"/>
      <c r="B2" s="16"/>
      <c r="C2" s="16"/>
      <c r="D2" s="17"/>
      <c r="E2" s="16"/>
      <c r="F2" s="16"/>
      <c r="G2" s="16"/>
      <c r="H2" s="16"/>
    </row>
    <row r="3" spans="1:9" ht="16.149999999999999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409</v>
      </c>
    </row>
    <row r="4" spans="1:9" s="1" customFormat="1" ht="64.5">
      <c r="A4" s="29" t="s">
        <v>9</v>
      </c>
      <c r="B4" s="5" t="s">
        <v>10</v>
      </c>
      <c r="C4" s="5" t="s">
        <v>11</v>
      </c>
      <c r="D4" s="5" t="s">
        <v>12</v>
      </c>
      <c r="E4" s="18" t="s">
        <v>13</v>
      </c>
      <c r="F4" s="5">
        <v>0</v>
      </c>
      <c r="G4" s="5">
        <v>3</v>
      </c>
      <c r="H4" s="5">
        <v>1</v>
      </c>
      <c r="I4" s="14">
        <f>VLOOKUP(B4,'CP設定檔(2023 IONIQ5)_backup'!A:B,2,FALSE)</f>
        <v>2</v>
      </c>
    </row>
    <row r="5" spans="1:9" s="1" customFormat="1" ht="48.4">
      <c r="A5" s="30"/>
      <c r="B5" s="5" t="s">
        <v>14</v>
      </c>
      <c r="C5" s="5" t="s">
        <v>15</v>
      </c>
      <c r="D5" s="5" t="s">
        <v>16</v>
      </c>
      <c r="E5" s="28"/>
      <c r="F5" s="5">
        <v>0</v>
      </c>
      <c r="G5" s="5">
        <v>2</v>
      </c>
      <c r="H5" s="5">
        <v>1</v>
      </c>
      <c r="I5" s="14">
        <f>VLOOKUP(B5,'CP設定檔(2023 IONIQ5)_backup'!A:B,2,FALSE)</f>
        <v>2</v>
      </c>
    </row>
    <row r="6" spans="1:9" s="1" customFormat="1" ht="64.5">
      <c r="A6" s="30"/>
      <c r="B6" s="5" t="s">
        <v>17</v>
      </c>
      <c r="C6" s="5" t="s">
        <v>18</v>
      </c>
      <c r="D6" s="5" t="s">
        <v>19</v>
      </c>
      <c r="E6" s="28"/>
      <c r="F6" s="5">
        <v>-1</v>
      </c>
      <c r="G6" s="5">
        <v>3</v>
      </c>
      <c r="H6" s="5">
        <v>1</v>
      </c>
      <c r="I6" s="14">
        <f>VLOOKUP(B6,'CP設定檔(2023 IONIQ5)_backup'!A:B,2,FALSE)</f>
        <v>1</v>
      </c>
    </row>
    <row r="7" spans="1:9" s="1" customFormat="1" ht="32.25">
      <c r="A7" s="30"/>
      <c r="B7" s="5" t="s">
        <v>20</v>
      </c>
      <c r="C7" s="5" t="s">
        <v>21</v>
      </c>
      <c r="D7" s="5" t="s">
        <v>22</v>
      </c>
      <c r="E7" s="28"/>
      <c r="F7" s="5">
        <v>0</v>
      </c>
      <c r="G7" s="5">
        <v>1</v>
      </c>
      <c r="H7" s="5">
        <v>1</v>
      </c>
      <c r="I7" s="14" t="e">
        <f>VLOOKUP(B7,'CP設定檔(2023 IONIQ5)_backup'!A:B,2,FALSE)</f>
        <v>#N/A</v>
      </c>
    </row>
    <row r="8" spans="1:9" s="1" customFormat="1" ht="48.4">
      <c r="A8" s="30"/>
      <c r="B8" s="5" t="s">
        <v>23</v>
      </c>
      <c r="C8" s="5" t="s">
        <v>24</v>
      </c>
      <c r="D8" s="5" t="s">
        <v>25</v>
      </c>
      <c r="E8" s="28"/>
      <c r="F8" s="5">
        <v>0</v>
      </c>
      <c r="G8" s="5">
        <v>3</v>
      </c>
      <c r="H8" s="5">
        <v>1</v>
      </c>
      <c r="I8" s="14">
        <f>VLOOKUP(B8,'CP設定檔(2023 IONIQ5)_backup'!A:B,2,FALSE)</f>
        <v>0</v>
      </c>
    </row>
    <row r="9" spans="1:9" s="1" customFormat="1" ht="32.25">
      <c r="A9" s="30"/>
      <c r="B9" s="5" t="s">
        <v>26</v>
      </c>
      <c r="C9" s="5" t="s">
        <v>27</v>
      </c>
      <c r="D9" s="5" t="s">
        <v>28</v>
      </c>
      <c r="E9" s="28"/>
      <c r="F9" s="5">
        <v>0</v>
      </c>
      <c r="G9" s="5">
        <v>2500</v>
      </c>
      <c r="H9" s="5">
        <v>50</v>
      </c>
      <c r="I9" s="14">
        <f>VLOOKUP(B9,'CP設定檔(2023 IONIQ5)_backup'!A:B,2,FALSE)</f>
        <v>400</v>
      </c>
    </row>
    <row r="10" spans="1:9" s="1" customFormat="1" ht="32.25">
      <c r="A10" s="30"/>
      <c r="B10" s="5" t="s">
        <v>29</v>
      </c>
      <c r="C10" s="5" t="s">
        <v>30</v>
      </c>
      <c r="D10" s="5" t="s">
        <v>31</v>
      </c>
      <c r="E10" s="28"/>
      <c r="F10" s="5">
        <v>0</v>
      </c>
      <c r="G10" s="5">
        <v>2</v>
      </c>
      <c r="H10" s="5">
        <v>1</v>
      </c>
      <c r="I10" s="14">
        <f>VLOOKUP(B10,'CP設定檔(2023 IONIQ5)_backup'!A:B,2,FALSE)</f>
        <v>1</v>
      </c>
    </row>
    <row r="11" spans="1:9" s="1" customFormat="1" ht="64.5">
      <c r="A11" s="30"/>
      <c r="B11" s="5" t="s">
        <v>32</v>
      </c>
      <c r="C11" s="5" t="s">
        <v>33</v>
      </c>
      <c r="D11" s="5" t="s">
        <v>34</v>
      </c>
      <c r="E11" s="28"/>
      <c r="F11" s="5">
        <v>0</v>
      </c>
      <c r="G11" s="5">
        <v>200</v>
      </c>
      <c r="H11" s="5">
        <v>5</v>
      </c>
      <c r="I11" s="14">
        <f>VLOOKUP(B11,'CP設定檔(2023 IONIQ5)_backup'!A:B,2,FALSE)</f>
        <v>80</v>
      </c>
    </row>
    <row r="12" spans="1:9" s="1" customFormat="1" ht="32.25">
      <c r="A12" s="30"/>
      <c r="B12" s="5" t="s">
        <v>35</v>
      </c>
      <c r="C12" s="5" t="s">
        <v>36</v>
      </c>
      <c r="D12" s="5" t="s">
        <v>37</v>
      </c>
      <c r="E12" s="28"/>
      <c r="F12" s="5">
        <v>0</v>
      </c>
      <c r="G12" s="5">
        <v>3</v>
      </c>
      <c r="H12" s="5">
        <v>1</v>
      </c>
      <c r="I12" s="14">
        <f>VLOOKUP(B12,'CP設定檔(2023 IONIQ5)_backup'!A:B,2,FALSE)</f>
        <v>0</v>
      </c>
    </row>
    <row r="13" spans="1:9" s="1" customFormat="1" ht="16.149999999999999">
      <c r="A13" s="30"/>
      <c r="B13" s="5" t="s">
        <v>38</v>
      </c>
      <c r="C13" s="5" t="s">
        <v>39</v>
      </c>
      <c r="D13" s="5" t="s">
        <v>40</v>
      </c>
      <c r="E13" s="28"/>
      <c r="F13" s="5">
        <v>5</v>
      </c>
      <c r="G13" s="5">
        <v>200</v>
      </c>
      <c r="H13" s="5">
        <v>5</v>
      </c>
      <c r="I13" s="14">
        <f>VLOOKUP(B13,'CP設定檔(2023 IONIQ5)_backup'!A:B,2,FALSE)</f>
        <v>80</v>
      </c>
    </row>
    <row r="14" spans="1:9" s="1" customFormat="1" ht="16.149999999999999">
      <c r="A14" s="30"/>
      <c r="B14" s="5" t="s">
        <v>41</v>
      </c>
      <c r="C14" s="5" t="s">
        <v>42</v>
      </c>
      <c r="D14" s="5" t="s">
        <v>40</v>
      </c>
      <c r="E14" s="28"/>
      <c r="F14" s="5">
        <v>5</v>
      </c>
      <c r="G14" s="5">
        <v>200</v>
      </c>
      <c r="H14" s="5">
        <v>5</v>
      </c>
      <c r="I14" s="14">
        <f>VLOOKUP(B14,'CP設定檔(2023 IONIQ5)_backup'!A:B,2,FALSE)</f>
        <v>100</v>
      </c>
    </row>
    <row r="15" spans="1:9" s="1" customFormat="1" ht="16.149999999999999">
      <c r="A15" s="30"/>
      <c r="B15" s="5" t="s">
        <v>43</v>
      </c>
      <c r="C15" s="5" t="s">
        <v>44</v>
      </c>
      <c r="D15" s="5" t="s">
        <v>40</v>
      </c>
      <c r="E15" s="28"/>
      <c r="F15" s="5">
        <v>1</v>
      </c>
      <c r="G15" s="5">
        <v>600</v>
      </c>
      <c r="H15" s="5">
        <v>10</v>
      </c>
      <c r="I15" s="14">
        <f>VLOOKUP(B15,'CP設定檔(2023 IONIQ5)_backup'!A:B,2,FALSE)</f>
        <v>60</v>
      </c>
    </row>
    <row r="16" spans="1:9" s="1" customFormat="1" ht="32.25">
      <c r="A16" s="30"/>
      <c r="B16" s="5" t="s">
        <v>45</v>
      </c>
      <c r="C16" s="5" t="s">
        <v>46</v>
      </c>
      <c r="D16" s="5" t="s">
        <v>47</v>
      </c>
      <c r="E16" s="28"/>
      <c r="F16" s="5">
        <v>0</v>
      </c>
      <c r="G16" s="5">
        <v>2</v>
      </c>
      <c r="H16" s="5">
        <v>1</v>
      </c>
      <c r="I16" s="14">
        <f>VLOOKUP(B16,'CP設定檔(2023 IONIQ5)_backup'!A:B,2,FALSE)</f>
        <v>0</v>
      </c>
    </row>
    <row r="17" spans="1:9" s="1" customFormat="1" ht="16.149999999999999">
      <c r="A17" s="30"/>
      <c r="B17" s="5" t="s">
        <v>48</v>
      </c>
      <c r="C17" s="5" t="s">
        <v>49</v>
      </c>
      <c r="D17" s="5" t="s">
        <v>40</v>
      </c>
      <c r="E17" s="28"/>
      <c r="F17" s="5">
        <v>0</v>
      </c>
      <c r="G17" s="5">
        <v>2</v>
      </c>
      <c r="H17" s="5">
        <v>1</v>
      </c>
      <c r="I17" s="14" t="e">
        <f>VLOOKUP(B17,'CP設定檔(2023 IONIQ5)_backup'!A:B,2,FALSE)</f>
        <v>#N/A</v>
      </c>
    </row>
    <row r="18" spans="1:9" s="1" customFormat="1" ht="16.149999999999999">
      <c r="A18" s="30"/>
      <c r="B18" s="5" t="s">
        <v>50</v>
      </c>
      <c r="C18" s="5" t="s">
        <v>51</v>
      </c>
      <c r="D18" s="5" t="s">
        <v>52</v>
      </c>
      <c r="E18" s="28"/>
      <c r="F18" s="5">
        <v>0</v>
      </c>
      <c r="G18" s="5">
        <v>2</v>
      </c>
      <c r="H18" s="5">
        <v>1</v>
      </c>
      <c r="I18" s="14">
        <f>VLOOKUP(B18,'CP設定檔(2023 IONIQ5)_backup'!A:B,2,FALSE)</f>
        <v>2</v>
      </c>
    </row>
    <row r="19" spans="1:9" s="1" customFormat="1" ht="16.149999999999999">
      <c r="A19" s="30"/>
      <c r="B19" s="5" t="s">
        <v>53</v>
      </c>
      <c r="C19" s="5" t="s">
        <v>54</v>
      </c>
      <c r="D19" s="5" t="s">
        <v>55</v>
      </c>
      <c r="E19" s="28"/>
      <c r="F19" s="5">
        <v>0</v>
      </c>
      <c r="G19" s="5">
        <v>2</v>
      </c>
      <c r="H19" s="5">
        <v>1</v>
      </c>
      <c r="I19" s="14">
        <f>VLOOKUP(B19,'CP設定檔(2023 IONIQ5)_backup'!A:B,2,FALSE)</f>
        <v>0</v>
      </c>
    </row>
    <row r="20" spans="1:9" s="1" customFormat="1" ht="16.149999999999999">
      <c r="A20" s="30"/>
      <c r="B20" s="5" t="s">
        <v>56</v>
      </c>
      <c r="C20" s="5" t="s">
        <v>56</v>
      </c>
      <c r="D20" s="5" t="s">
        <v>57</v>
      </c>
      <c r="E20" s="28"/>
      <c r="F20" s="5">
        <v>0</v>
      </c>
      <c r="G20" s="5">
        <v>1</v>
      </c>
      <c r="H20" s="5">
        <v>1</v>
      </c>
      <c r="I20" s="14">
        <f>VLOOKUP(B20,'CP設定檔(2023 IONIQ5)_backup'!A:B,2,FALSE)</f>
        <v>1</v>
      </c>
    </row>
    <row r="21" spans="1:9" s="1" customFormat="1" ht="32.25">
      <c r="A21" s="30"/>
      <c r="B21" s="5" t="s">
        <v>58</v>
      </c>
      <c r="C21" s="5" t="s">
        <v>59</v>
      </c>
      <c r="D21" s="5" t="s">
        <v>60</v>
      </c>
      <c r="E21" s="28"/>
      <c r="F21" s="5">
        <v>0</v>
      </c>
      <c r="G21" s="5">
        <v>1</v>
      </c>
      <c r="H21" s="5">
        <v>1</v>
      </c>
      <c r="I21" s="14">
        <f>VLOOKUP(B21,'CP設定檔(2023 IONIQ5)_backup'!A:B,2,FALSE)</f>
        <v>0</v>
      </c>
    </row>
    <row r="22" spans="1:9" s="1" customFormat="1" ht="64.5">
      <c r="A22" s="30"/>
      <c r="B22" s="5" t="s">
        <v>61</v>
      </c>
      <c r="C22" s="5" t="s">
        <v>62</v>
      </c>
      <c r="D22" s="5" t="s">
        <v>63</v>
      </c>
      <c r="E22" s="28"/>
      <c r="F22" s="5">
        <v>0</v>
      </c>
      <c r="G22" s="5">
        <v>1</v>
      </c>
      <c r="H22" s="5">
        <v>1</v>
      </c>
      <c r="I22" s="14">
        <f>VLOOKUP(B22,'CP設定檔(2023 IONIQ5)_backup'!A:B,2,FALSE)</f>
        <v>0</v>
      </c>
    </row>
    <row r="23" spans="1:9" s="1" customFormat="1" ht="16.149999999999999">
      <c r="A23" s="30"/>
      <c r="B23" s="5" t="s">
        <v>64</v>
      </c>
      <c r="C23" s="5" t="s">
        <v>65</v>
      </c>
      <c r="D23" s="5" t="s">
        <v>40</v>
      </c>
      <c r="E23" s="28"/>
      <c r="F23" s="5">
        <v>0</v>
      </c>
      <c r="G23" s="5">
        <v>1</v>
      </c>
      <c r="H23" s="5">
        <v>1</v>
      </c>
      <c r="I23" s="14">
        <f>VLOOKUP(B23,'CP設定檔(2023 IONIQ5)_backup'!A:B,2,FALSE)</f>
        <v>1</v>
      </c>
    </row>
    <row r="24" spans="1:9" s="1" customFormat="1" ht="16.149999999999999">
      <c r="A24" s="30"/>
      <c r="B24" s="5" t="s">
        <v>66</v>
      </c>
      <c r="C24" s="5" t="s">
        <v>67</v>
      </c>
      <c r="D24" s="5" t="s">
        <v>40</v>
      </c>
      <c r="E24" s="28"/>
      <c r="F24" s="5">
        <v>0</v>
      </c>
      <c r="G24" s="5">
        <v>1</v>
      </c>
      <c r="H24" s="5">
        <v>1</v>
      </c>
      <c r="I24" s="14">
        <f>VLOOKUP(B24,'CP設定檔(2023 IONIQ5)_backup'!A:B,2,FALSE)</f>
        <v>2</v>
      </c>
    </row>
    <row r="25" spans="1:9" s="1" customFormat="1" ht="16.149999999999999">
      <c r="A25" s="30"/>
      <c r="B25" s="5" t="s">
        <v>68</v>
      </c>
      <c r="C25" s="5" t="s">
        <v>69</v>
      </c>
      <c r="D25" s="5" t="s">
        <v>40</v>
      </c>
      <c r="E25" s="28"/>
      <c r="F25" s="5">
        <v>0</v>
      </c>
      <c r="G25" s="5">
        <v>1</v>
      </c>
      <c r="H25" s="5">
        <v>1</v>
      </c>
      <c r="I25" s="14">
        <f>VLOOKUP(B25,'CP設定檔(2023 IONIQ5)_backup'!A:B,2,FALSE)</f>
        <v>0</v>
      </c>
    </row>
    <row r="26" spans="1:9" s="1" customFormat="1" ht="16.149999999999999">
      <c r="A26" s="30"/>
      <c r="B26" s="5" t="s">
        <v>70</v>
      </c>
      <c r="C26" s="5" t="s">
        <v>71</v>
      </c>
      <c r="D26" s="5" t="s">
        <v>40</v>
      </c>
      <c r="E26" s="28"/>
      <c r="F26" s="5">
        <v>0</v>
      </c>
      <c r="G26" s="5">
        <v>1</v>
      </c>
      <c r="H26" s="5">
        <v>1</v>
      </c>
      <c r="I26" s="14">
        <f>VLOOKUP(B26,'CP設定檔(2023 IONIQ5)_backup'!A:B,2,FALSE)</f>
        <v>1</v>
      </c>
    </row>
    <row r="27" spans="1:9" s="1" customFormat="1" ht="16.149999999999999">
      <c r="A27" s="30"/>
      <c r="B27" s="5" t="s">
        <v>72</v>
      </c>
      <c r="C27" s="5" t="s">
        <v>73</v>
      </c>
      <c r="D27" s="5" t="s">
        <v>40</v>
      </c>
      <c r="E27" s="19"/>
      <c r="F27" s="5">
        <v>0</v>
      </c>
      <c r="G27" s="5">
        <v>1</v>
      </c>
      <c r="H27" s="5">
        <v>1</v>
      </c>
      <c r="I27" s="14">
        <f>VLOOKUP(B27,'CP設定檔(2023 IONIQ5)_backup'!A:B,2,FALSE)</f>
        <v>1</v>
      </c>
    </row>
    <row r="28" spans="1:9" ht="32.25">
      <c r="A28" s="31" t="s">
        <v>74</v>
      </c>
      <c r="B28" s="5" t="s">
        <v>75</v>
      </c>
      <c r="C28" s="5" t="s">
        <v>76</v>
      </c>
      <c r="D28" s="5" t="s">
        <v>77</v>
      </c>
      <c r="E28" s="18" t="s">
        <v>78</v>
      </c>
      <c r="F28" s="5">
        <v>70</v>
      </c>
      <c r="G28" s="5">
        <v>300</v>
      </c>
      <c r="H28" s="5">
        <v>5</v>
      </c>
      <c r="I28" s="14">
        <f>VLOOKUP(B28,'CP設定檔(2023 IONIQ5)_backup'!A:B,2,FALSE)</f>
        <v>75</v>
      </c>
    </row>
    <row r="29" spans="1:9" ht="32.25">
      <c r="A29" s="32"/>
      <c r="B29" s="5" t="s">
        <v>79</v>
      </c>
      <c r="C29" s="5" t="s">
        <v>80</v>
      </c>
      <c r="D29" s="5" t="s">
        <v>81</v>
      </c>
      <c r="E29" s="28"/>
      <c r="F29" s="5">
        <v>70</v>
      </c>
      <c r="G29" s="5">
        <v>300</v>
      </c>
      <c r="H29" s="5">
        <v>5</v>
      </c>
      <c r="I29" s="14">
        <f>VLOOKUP(B29,'CP設定檔(2023 IONIQ5)_backup'!A:B,2,FALSE)</f>
        <v>85</v>
      </c>
    </row>
    <row r="30" spans="1:9" ht="32.25">
      <c r="A30" s="32"/>
      <c r="B30" s="5" t="s">
        <v>82</v>
      </c>
      <c r="C30" s="5" t="s">
        <v>83</v>
      </c>
      <c r="D30" s="5" t="s">
        <v>84</v>
      </c>
      <c r="E30" s="28"/>
      <c r="F30" s="5">
        <v>70</v>
      </c>
      <c r="G30" s="5">
        <v>300</v>
      </c>
      <c r="H30" s="5">
        <v>5</v>
      </c>
      <c r="I30" s="14">
        <f>VLOOKUP(B30,'CP設定檔(2023 IONIQ5)_backup'!A:B,2,FALSE)</f>
        <v>100</v>
      </c>
    </row>
    <row r="31" spans="1:9" ht="32.25">
      <c r="A31" s="32"/>
      <c r="B31" s="5" t="s">
        <v>85</v>
      </c>
      <c r="C31" s="5" t="s">
        <v>86</v>
      </c>
      <c r="D31" s="5" t="s">
        <v>87</v>
      </c>
      <c r="E31" s="19"/>
      <c r="F31" s="5">
        <v>70</v>
      </c>
      <c r="G31" s="5">
        <v>300</v>
      </c>
      <c r="H31" s="5">
        <v>5</v>
      </c>
      <c r="I31" s="14">
        <f>VLOOKUP(B31,'CP設定檔(2023 IONIQ5)_backup'!A:B,2,FALSE)</f>
        <v>120</v>
      </c>
    </row>
    <row r="32" spans="1:9" ht="16.149999999999999">
      <c r="A32" s="32"/>
      <c r="B32" s="5" t="s">
        <v>88</v>
      </c>
      <c r="C32" s="5" t="s">
        <v>89</v>
      </c>
      <c r="D32" s="5" t="s">
        <v>40</v>
      </c>
      <c r="E32" s="5" t="s">
        <v>90</v>
      </c>
      <c r="F32" s="5">
        <v>0</v>
      </c>
      <c r="G32" s="5">
        <v>100</v>
      </c>
      <c r="H32" s="5">
        <v>5</v>
      </c>
      <c r="I32" s="14">
        <f>VLOOKUP(B32,'CP設定檔(2023 IONIQ5)_backup'!A:B,2,FALSE)</f>
        <v>50</v>
      </c>
    </row>
    <row r="33" spans="1:9" ht="16.149999999999999">
      <c r="A33" s="32"/>
      <c r="B33" s="5" t="s">
        <v>91</v>
      </c>
      <c r="C33" s="5" t="s">
        <v>92</v>
      </c>
      <c r="D33" s="5" t="s">
        <v>40</v>
      </c>
      <c r="E33" s="5" t="s">
        <v>93</v>
      </c>
      <c r="F33" s="5">
        <v>0</v>
      </c>
      <c r="G33" s="5">
        <v>100</v>
      </c>
      <c r="H33" s="5">
        <v>5</v>
      </c>
      <c r="I33" s="14">
        <f>VLOOKUP(B33,'CP設定檔(2023 IONIQ5)_backup'!A:B,2,FALSE)</f>
        <v>100</v>
      </c>
    </row>
    <row r="34" spans="1:9" ht="209.65">
      <c r="A34" s="32"/>
      <c r="B34" s="5" t="s">
        <v>94</v>
      </c>
      <c r="C34" s="5" t="s">
        <v>95</v>
      </c>
      <c r="D34" s="5" t="s">
        <v>96</v>
      </c>
      <c r="E34" s="5" t="s">
        <v>97</v>
      </c>
      <c r="F34" s="5">
        <v>1</v>
      </c>
      <c r="G34" s="5">
        <v>4</v>
      </c>
      <c r="H34" s="5">
        <v>1</v>
      </c>
      <c r="I34" s="14">
        <f>VLOOKUP(B34,'CP設定檔(2023 IONIQ5)_backup'!A:B,2,FALSE)</f>
        <v>3</v>
      </c>
    </row>
    <row r="35" spans="1:9" ht="199.5">
      <c r="A35" s="32"/>
      <c r="B35" s="5" t="s">
        <v>98</v>
      </c>
      <c r="C35" s="5" t="s">
        <v>99</v>
      </c>
      <c r="D35" s="5" t="s">
        <v>100</v>
      </c>
      <c r="E35" s="6" t="s">
        <v>101</v>
      </c>
      <c r="F35" s="5">
        <v>0</v>
      </c>
      <c r="G35" s="5">
        <v>1</v>
      </c>
      <c r="H35" s="5">
        <v>1</v>
      </c>
      <c r="I35" s="14">
        <f>VLOOKUP(B35,'CP設定檔(2023 IONIQ5)_backup'!A:B,2,FALSE)</f>
        <v>1</v>
      </c>
    </row>
    <row r="36" spans="1:9" ht="32.25">
      <c r="A36" s="32"/>
      <c r="B36" s="5" t="s">
        <v>102</v>
      </c>
      <c r="C36" s="5" t="s">
        <v>103</v>
      </c>
      <c r="D36" s="5" t="s">
        <v>104</v>
      </c>
      <c r="E36" s="5"/>
      <c r="F36" s="5">
        <v>0</v>
      </c>
      <c r="G36" s="5">
        <v>2</v>
      </c>
      <c r="H36" s="5">
        <v>1</v>
      </c>
      <c r="I36" s="14">
        <f>VLOOKUP(B36,'CP設定檔(2023 IONIQ5)_backup'!A:B,2,FALSE)</f>
        <v>2</v>
      </c>
    </row>
    <row r="37" spans="1:9" ht="112.9">
      <c r="A37" s="31" t="s">
        <v>105</v>
      </c>
      <c r="B37" s="5" t="s">
        <v>106</v>
      </c>
      <c r="C37" s="5" t="s">
        <v>107</v>
      </c>
      <c r="D37" s="5" t="s">
        <v>108</v>
      </c>
      <c r="E37" s="5" t="s">
        <v>109</v>
      </c>
      <c r="F37" s="5">
        <v>-10</v>
      </c>
      <c r="G37" s="5">
        <v>100</v>
      </c>
      <c r="H37" s="5">
        <v>1</v>
      </c>
      <c r="I37" s="14" t="e">
        <f>VLOOKUP(B37,'CP設定檔(2023 IONIQ5)_backup'!A:B,2,FALSE)</f>
        <v>#N/A</v>
      </c>
    </row>
    <row r="38" spans="1:9" ht="16.149999999999999">
      <c r="A38" s="32"/>
      <c r="B38" s="5" t="s">
        <v>110</v>
      </c>
      <c r="C38" s="5" t="s">
        <v>111</v>
      </c>
      <c r="D38" s="5" t="s">
        <v>112</v>
      </c>
      <c r="E38" s="18" t="s">
        <v>113</v>
      </c>
      <c r="F38" s="5">
        <v>0</v>
      </c>
      <c r="G38" s="5">
        <v>1</v>
      </c>
      <c r="H38" s="5">
        <v>1</v>
      </c>
      <c r="I38" s="14" t="e">
        <f>VLOOKUP(B38,'CP設定檔(2023 IONIQ5)_backup'!A:B,2,FALSE)</f>
        <v>#N/A</v>
      </c>
    </row>
    <row r="39" spans="1:9" ht="16.149999999999999">
      <c r="A39" s="32"/>
      <c r="B39" s="5" t="s">
        <v>114</v>
      </c>
      <c r="C39" s="5" t="s">
        <v>115</v>
      </c>
      <c r="D39" s="5" t="s">
        <v>112</v>
      </c>
      <c r="E39" s="28"/>
      <c r="F39" s="5">
        <v>0</v>
      </c>
      <c r="G39" s="5">
        <v>1</v>
      </c>
      <c r="H39" s="5">
        <v>1</v>
      </c>
      <c r="I39" s="14" t="e">
        <f>VLOOKUP(B39,'CP設定檔(2023 IONIQ5)_backup'!A:B,2,FALSE)</f>
        <v>#N/A</v>
      </c>
    </row>
    <row r="40" spans="1:9" ht="16.149999999999999">
      <c r="A40" s="32"/>
      <c r="B40" s="5" t="s">
        <v>116</v>
      </c>
      <c r="C40" s="5" t="s">
        <v>117</v>
      </c>
      <c r="D40" s="5" t="s">
        <v>112</v>
      </c>
      <c r="E40" s="28"/>
      <c r="F40" s="5">
        <v>0</v>
      </c>
      <c r="G40" s="5">
        <v>1</v>
      </c>
      <c r="H40" s="5">
        <v>1</v>
      </c>
      <c r="I40" s="14" t="e">
        <f>VLOOKUP(B40,'CP設定檔(2023 IONIQ5)_backup'!A:B,2,FALSE)</f>
        <v>#N/A</v>
      </c>
    </row>
    <row r="41" spans="1:9" ht="16.149999999999999">
      <c r="A41" s="32"/>
      <c r="B41" s="5" t="s">
        <v>118</v>
      </c>
      <c r="C41" s="5" t="s">
        <v>119</v>
      </c>
      <c r="D41" s="5" t="s">
        <v>120</v>
      </c>
      <c r="E41" s="19"/>
      <c r="F41" s="5">
        <v>0</v>
      </c>
      <c r="G41" s="5">
        <v>1</v>
      </c>
      <c r="H41" s="5">
        <v>1</v>
      </c>
      <c r="I41" s="14" t="e">
        <f>VLOOKUP(B41,'CP設定檔(2023 IONIQ5)_backup'!A:B,2,FALSE)</f>
        <v>#N/A</v>
      </c>
    </row>
    <row r="42" spans="1:9" ht="48.4">
      <c r="A42" s="32"/>
      <c r="B42" s="5" t="s">
        <v>121</v>
      </c>
      <c r="C42" s="5" t="s">
        <v>122</v>
      </c>
      <c r="D42" s="5" t="s">
        <v>123</v>
      </c>
      <c r="E42" s="5" t="s">
        <v>124</v>
      </c>
      <c r="F42" s="5">
        <v>5</v>
      </c>
      <c r="G42" s="5">
        <v>100</v>
      </c>
      <c r="H42" s="5">
        <v>1</v>
      </c>
      <c r="I42" s="14" t="e">
        <f>VLOOKUP(B42,'CP設定檔(2023 IONIQ5)_backup'!A:B,2,FALSE)</f>
        <v>#N/A</v>
      </c>
    </row>
    <row r="43" spans="1:9" ht="32.25">
      <c r="A43" s="32"/>
      <c r="B43" s="5" t="s">
        <v>125</v>
      </c>
      <c r="C43" s="5" t="s">
        <v>126</v>
      </c>
      <c r="D43" s="5" t="s">
        <v>127</v>
      </c>
      <c r="E43" s="5" t="s">
        <v>128</v>
      </c>
      <c r="F43" s="5">
        <v>0</v>
      </c>
      <c r="G43" s="5">
        <v>100</v>
      </c>
      <c r="H43" s="5">
        <v>1</v>
      </c>
      <c r="I43" s="14" t="e">
        <f>VLOOKUP(B43,'CP設定檔(2023 IONIQ5)_backup'!A:B,2,FALSE)</f>
        <v>#N/A</v>
      </c>
    </row>
    <row r="44" spans="1:9" ht="32.25">
      <c r="A44" s="32"/>
      <c r="B44" s="5" t="s">
        <v>129</v>
      </c>
      <c r="C44" s="5" t="s">
        <v>130</v>
      </c>
      <c r="D44" s="5" t="s">
        <v>131</v>
      </c>
      <c r="E44" s="5" t="s">
        <v>128</v>
      </c>
      <c r="F44" s="5">
        <v>0</v>
      </c>
      <c r="G44" s="5">
        <v>100</v>
      </c>
      <c r="H44" s="5">
        <v>1</v>
      </c>
      <c r="I44" s="14" t="e">
        <f>VLOOKUP(B44,'CP設定檔(2023 IONIQ5)_backup'!A:B,2,FALSE)</f>
        <v>#N/A</v>
      </c>
    </row>
    <row r="45" spans="1:9" ht="48.4">
      <c r="A45" s="32"/>
      <c r="B45" s="5" t="s">
        <v>132</v>
      </c>
      <c r="C45" s="5" t="s">
        <v>133</v>
      </c>
      <c r="D45" s="5" t="s">
        <v>134</v>
      </c>
      <c r="E45" s="5" t="s">
        <v>135</v>
      </c>
      <c r="F45" s="5">
        <v>0</v>
      </c>
      <c r="G45" s="5">
        <v>50</v>
      </c>
      <c r="H45" s="5">
        <v>1</v>
      </c>
      <c r="I45" s="14" t="e">
        <f>VLOOKUP(B45,'CP設定檔(2023 IONIQ5)_backup'!A:B,2,FALSE)</f>
        <v>#N/A</v>
      </c>
    </row>
    <row r="46" spans="1:9" ht="48.4">
      <c r="A46" s="32"/>
      <c r="B46" s="5" t="s">
        <v>136</v>
      </c>
      <c r="C46" s="5" t="s">
        <v>137</v>
      </c>
      <c r="D46" s="5" t="s">
        <v>138</v>
      </c>
      <c r="E46" s="5" t="s">
        <v>135</v>
      </c>
      <c r="F46" s="5">
        <v>0</v>
      </c>
      <c r="G46" s="5">
        <v>50</v>
      </c>
      <c r="H46" s="5">
        <v>1</v>
      </c>
      <c r="I46" s="14" t="e">
        <f>VLOOKUP(B46,'CP設定檔(2023 IONIQ5)_backup'!A:B,2,FALSE)</f>
        <v>#N/A</v>
      </c>
    </row>
    <row r="47" spans="1:9" ht="48.4">
      <c r="A47" s="32"/>
      <c r="B47" s="5" t="s">
        <v>139</v>
      </c>
      <c r="C47" s="5" t="s">
        <v>140</v>
      </c>
      <c r="D47" s="5" t="s">
        <v>141</v>
      </c>
      <c r="E47" s="5" t="s">
        <v>142</v>
      </c>
      <c r="F47" s="5">
        <v>-50</v>
      </c>
      <c r="G47" s="5">
        <v>100</v>
      </c>
      <c r="H47" s="5">
        <v>1</v>
      </c>
      <c r="I47" s="14" t="e">
        <f>VLOOKUP(B47,'CP設定檔(2023 IONIQ5)_backup'!A:B,2,FALSE)</f>
        <v>#N/A</v>
      </c>
    </row>
    <row r="48" spans="1:9" ht="48.4">
      <c r="A48" s="32"/>
      <c r="B48" s="5" t="s">
        <v>143</v>
      </c>
      <c r="C48" s="5" t="s">
        <v>144</v>
      </c>
      <c r="D48" s="5" t="s">
        <v>145</v>
      </c>
      <c r="E48" s="7" t="s">
        <v>146</v>
      </c>
      <c r="F48" s="5">
        <v>0</v>
      </c>
      <c r="G48" s="5">
        <v>2000</v>
      </c>
      <c r="H48" s="5">
        <v>5</v>
      </c>
      <c r="I48" s="14" t="e">
        <f>VLOOKUP(B48,'CP設定檔(2023 IONIQ5)_backup'!A:B,2,FALSE)</f>
        <v>#N/A</v>
      </c>
    </row>
    <row r="49" spans="1:9" ht="64.5">
      <c r="A49" s="32"/>
      <c r="B49" s="5" t="s">
        <v>147</v>
      </c>
      <c r="C49" s="5" t="s">
        <v>148</v>
      </c>
      <c r="D49" s="5" t="s">
        <v>149</v>
      </c>
      <c r="E49" s="8" t="s">
        <v>146</v>
      </c>
      <c r="F49" s="5">
        <v>0</v>
      </c>
      <c r="G49" s="5">
        <v>120</v>
      </c>
      <c r="H49" s="5">
        <v>1</v>
      </c>
      <c r="I49" s="14" t="e">
        <f>VLOOKUP(B49,'CP設定檔(2023 IONIQ5)_backup'!A:B,2,FALSE)</f>
        <v>#N/A</v>
      </c>
    </row>
    <row r="50" spans="1:9" ht="48.4">
      <c r="A50" s="32"/>
      <c r="B50" s="5" t="s">
        <v>150</v>
      </c>
      <c r="C50" s="5" t="s">
        <v>151</v>
      </c>
      <c r="D50" s="5" t="s">
        <v>152</v>
      </c>
      <c r="E50" s="8" t="s">
        <v>146</v>
      </c>
      <c r="F50" s="5">
        <v>0</v>
      </c>
      <c r="G50" s="5">
        <v>500</v>
      </c>
      <c r="H50" s="5">
        <v>5</v>
      </c>
      <c r="I50" s="14" t="e">
        <f>VLOOKUP(B50,'CP設定檔(2023 IONIQ5)_backup'!A:B,2,FALSE)</f>
        <v>#N/A</v>
      </c>
    </row>
    <row r="51" spans="1:9" ht="96.75">
      <c r="A51" s="32"/>
      <c r="B51" s="5" t="s">
        <v>153</v>
      </c>
      <c r="C51" s="5" t="s">
        <v>154</v>
      </c>
      <c r="D51" s="5" t="s">
        <v>155</v>
      </c>
      <c r="E51" s="8" t="s">
        <v>146</v>
      </c>
      <c r="F51" s="5">
        <v>0</v>
      </c>
      <c r="G51" s="5">
        <v>200</v>
      </c>
      <c r="H51" s="5">
        <v>2</v>
      </c>
      <c r="I51" s="14" t="e">
        <f>VLOOKUP(B51,'CP設定檔(2023 IONIQ5)_backup'!A:B,2,FALSE)</f>
        <v>#N/A</v>
      </c>
    </row>
    <row r="52" spans="1:9" ht="48.4">
      <c r="A52" s="32"/>
      <c r="B52" s="5" t="s">
        <v>156</v>
      </c>
      <c r="C52" s="5" t="s">
        <v>157</v>
      </c>
      <c r="D52" s="5" t="s">
        <v>158</v>
      </c>
      <c r="E52" s="8" t="s">
        <v>146</v>
      </c>
      <c r="F52" s="5">
        <v>0</v>
      </c>
      <c r="G52" s="5">
        <v>200</v>
      </c>
      <c r="H52" s="5">
        <v>1</v>
      </c>
      <c r="I52" s="14" t="e">
        <f>VLOOKUP(B52,'CP設定檔(2023 IONIQ5)_backup'!A:B,2,FALSE)</f>
        <v>#N/A</v>
      </c>
    </row>
    <row r="53" spans="1:9" ht="32.25">
      <c r="A53" s="32"/>
      <c r="B53" s="5" t="s">
        <v>159</v>
      </c>
      <c r="C53" s="5" t="s">
        <v>160</v>
      </c>
      <c r="D53" s="5" t="s">
        <v>161</v>
      </c>
      <c r="E53" s="8" t="s">
        <v>146</v>
      </c>
      <c r="F53" s="5">
        <v>0</v>
      </c>
      <c r="G53" s="5">
        <v>100</v>
      </c>
      <c r="H53" s="5">
        <v>5</v>
      </c>
      <c r="I53" s="14" t="e">
        <f>VLOOKUP(B53,'CP設定檔(2023 IONIQ5)_backup'!A:B,2,FALSE)</f>
        <v>#N/A</v>
      </c>
    </row>
    <row r="54" spans="1:9" ht="48.4">
      <c r="A54" s="32"/>
      <c r="B54" s="5" t="s">
        <v>162</v>
      </c>
      <c r="C54" s="5" t="s">
        <v>163</v>
      </c>
      <c r="D54" s="5" t="s">
        <v>164</v>
      </c>
      <c r="E54" s="8" t="s">
        <v>146</v>
      </c>
      <c r="F54" s="5">
        <v>0</v>
      </c>
      <c r="G54" s="5">
        <v>100</v>
      </c>
      <c r="H54" s="5">
        <v>5</v>
      </c>
      <c r="I54" s="14" t="e">
        <f>VLOOKUP(B54,'CP設定檔(2023 IONIQ5)_backup'!A:B,2,FALSE)</f>
        <v>#N/A</v>
      </c>
    </row>
    <row r="55" spans="1:9" ht="32.25">
      <c r="A55" s="32"/>
      <c r="B55" s="5" t="s">
        <v>165</v>
      </c>
      <c r="C55" s="5" t="s">
        <v>166</v>
      </c>
      <c r="D55" s="5" t="s">
        <v>167</v>
      </c>
      <c r="E55" s="9" t="s">
        <v>146</v>
      </c>
      <c r="F55" s="5">
        <v>0</v>
      </c>
      <c r="G55" s="5">
        <v>60</v>
      </c>
      <c r="H55" s="5">
        <v>1</v>
      </c>
      <c r="I55" s="14" t="e">
        <f>VLOOKUP(B55,'CP設定檔(2023 IONIQ5)_backup'!A:B,2,FALSE)</f>
        <v>#N/A</v>
      </c>
    </row>
    <row r="56" spans="1:9" ht="48.4">
      <c r="A56" s="32"/>
      <c r="B56" s="5" t="s">
        <v>168</v>
      </c>
      <c r="C56" s="5" t="s">
        <v>169</v>
      </c>
      <c r="D56" s="5" t="s">
        <v>170</v>
      </c>
      <c r="E56" s="7" t="s">
        <v>171</v>
      </c>
      <c r="F56" s="5">
        <v>0</v>
      </c>
      <c r="G56" s="5">
        <v>1000</v>
      </c>
      <c r="H56" s="5">
        <v>5</v>
      </c>
      <c r="I56" s="14" t="e">
        <f>VLOOKUP(B56,'CP設定檔(2023 IONIQ5)_backup'!A:B,2,FALSE)</f>
        <v>#N/A</v>
      </c>
    </row>
    <row r="57" spans="1:9" ht="64.5">
      <c r="A57" s="32"/>
      <c r="B57" s="5" t="s">
        <v>172</v>
      </c>
      <c r="C57" s="5" t="s">
        <v>173</v>
      </c>
      <c r="D57" s="5" t="s">
        <v>174</v>
      </c>
      <c r="E57" s="8" t="s">
        <v>171</v>
      </c>
      <c r="F57" s="5">
        <v>0</v>
      </c>
      <c r="G57" s="5">
        <v>120</v>
      </c>
      <c r="H57" s="5">
        <v>1</v>
      </c>
      <c r="I57" s="14" t="e">
        <f>VLOOKUP(B57,'CP設定檔(2023 IONIQ5)_backup'!A:B,2,FALSE)</f>
        <v>#N/A</v>
      </c>
    </row>
    <row r="58" spans="1:9" ht="48.4">
      <c r="A58" s="32"/>
      <c r="B58" s="5" t="s">
        <v>175</v>
      </c>
      <c r="C58" s="5" t="s">
        <v>176</v>
      </c>
      <c r="D58" s="5" t="s">
        <v>177</v>
      </c>
      <c r="E58" s="8" t="s">
        <v>171</v>
      </c>
      <c r="F58" s="5">
        <v>0</v>
      </c>
      <c r="G58" s="5">
        <v>500</v>
      </c>
      <c r="H58" s="5">
        <v>5</v>
      </c>
      <c r="I58" s="14" t="e">
        <f>VLOOKUP(B58,'CP設定檔(2023 IONIQ5)_backup'!A:B,2,FALSE)</f>
        <v>#N/A</v>
      </c>
    </row>
    <row r="59" spans="1:9" ht="96.75">
      <c r="A59" s="32"/>
      <c r="B59" s="5" t="s">
        <v>178</v>
      </c>
      <c r="C59" s="5" t="s">
        <v>179</v>
      </c>
      <c r="D59" s="5" t="s">
        <v>180</v>
      </c>
      <c r="E59" s="8" t="s">
        <v>171</v>
      </c>
      <c r="F59" s="5">
        <v>0</v>
      </c>
      <c r="G59" s="5">
        <v>200</v>
      </c>
      <c r="H59" s="5">
        <v>1</v>
      </c>
      <c r="I59" s="14" t="e">
        <f>VLOOKUP(B59,'CP設定檔(2023 IONIQ5)_backup'!A:B,2,FALSE)</f>
        <v>#N/A</v>
      </c>
    </row>
    <row r="60" spans="1:9" ht="48.4">
      <c r="A60" s="32"/>
      <c r="B60" s="5" t="s">
        <v>181</v>
      </c>
      <c r="C60" s="5" t="s">
        <v>182</v>
      </c>
      <c r="D60" s="5" t="s">
        <v>158</v>
      </c>
      <c r="E60" s="8" t="s">
        <v>171</v>
      </c>
      <c r="F60" s="5">
        <v>0</v>
      </c>
      <c r="G60" s="5">
        <v>200</v>
      </c>
      <c r="H60" s="5">
        <v>1</v>
      </c>
      <c r="I60" s="14" t="e">
        <f>VLOOKUP(B60,'CP設定檔(2023 IONIQ5)_backup'!A:B,2,FALSE)</f>
        <v>#N/A</v>
      </c>
    </row>
    <row r="61" spans="1:9" ht="48.4">
      <c r="A61" s="32"/>
      <c r="B61" s="5" t="s">
        <v>183</v>
      </c>
      <c r="C61" s="5" t="s">
        <v>184</v>
      </c>
      <c r="D61" s="5" t="s">
        <v>185</v>
      </c>
      <c r="E61" s="8" t="s">
        <v>171</v>
      </c>
      <c r="F61" s="5">
        <v>0</v>
      </c>
      <c r="G61" s="5">
        <v>100</v>
      </c>
      <c r="H61" s="5">
        <v>5</v>
      </c>
      <c r="I61" s="14" t="e">
        <f>VLOOKUP(B61,'CP設定檔(2023 IONIQ5)_backup'!A:B,2,FALSE)</f>
        <v>#N/A</v>
      </c>
    </row>
    <row r="62" spans="1:9" ht="48.4">
      <c r="A62" s="32"/>
      <c r="B62" s="5" t="s">
        <v>186</v>
      </c>
      <c r="C62" s="5" t="s">
        <v>187</v>
      </c>
      <c r="D62" s="5" t="s">
        <v>188</v>
      </c>
      <c r="E62" s="8" t="s">
        <v>171</v>
      </c>
      <c r="F62" s="5">
        <v>0</v>
      </c>
      <c r="G62" s="5">
        <v>100</v>
      </c>
      <c r="H62" s="5">
        <v>5</v>
      </c>
      <c r="I62" s="14" t="e">
        <f>VLOOKUP(B62,'CP設定檔(2023 IONIQ5)_backup'!A:B,2,FALSE)</f>
        <v>#N/A</v>
      </c>
    </row>
    <row r="63" spans="1:9" ht="32.25">
      <c r="A63" s="32"/>
      <c r="B63" s="5" t="s">
        <v>189</v>
      </c>
      <c r="C63" s="5" t="s">
        <v>190</v>
      </c>
      <c r="D63" s="5" t="s">
        <v>191</v>
      </c>
      <c r="E63" s="9" t="s">
        <v>171</v>
      </c>
      <c r="F63" s="5">
        <v>0</v>
      </c>
      <c r="G63" s="5">
        <v>60</v>
      </c>
      <c r="H63" s="5">
        <v>1</v>
      </c>
      <c r="I63" s="14" t="e">
        <f>VLOOKUP(B63,'CP設定檔(2023 IONIQ5)_backup'!A:B,2,FALSE)</f>
        <v>#N/A</v>
      </c>
    </row>
    <row r="64" spans="1:9" ht="64.5">
      <c r="A64" s="32"/>
      <c r="B64" s="5" t="s">
        <v>192</v>
      </c>
      <c r="C64" s="5" t="s">
        <v>193</v>
      </c>
      <c r="D64" s="5" t="s">
        <v>194</v>
      </c>
      <c r="E64" s="18" t="s">
        <v>195</v>
      </c>
      <c r="F64" s="5">
        <v>2</v>
      </c>
      <c r="G64" s="5">
        <v>10</v>
      </c>
      <c r="H64" s="5">
        <v>1</v>
      </c>
      <c r="I64" s="14" t="e">
        <f>VLOOKUP(B64,'CP設定檔(2023 IONIQ5)_backup'!A:B,2,FALSE)</f>
        <v>#N/A</v>
      </c>
    </row>
    <row r="65" spans="1:9" ht="32.25">
      <c r="A65" s="32"/>
      <c r="B65" s="5" t="s">
        <v>196</v>
      </c>
      <c r="C65" s="5" t="s">
        <v>197</v>
      </c>
      <c r="D65" s="5" t="s">
        <v>198</v>
      </c>
      <c r="E65" s="28"/>
      <c r="F65" s="5">
        <v>-100</v>
      </c>
      <c r="G65" s="5">
        <v>200</v>
      </c>
      <c r="H65" s="5">
        <v>1</v>
      </c>
      <c r="I65" s="14" t="e">
        <f>VLOOKUP(B65,'CP設定檔(2023 IONIQ5)_backup'!A:B,2,FALSE)</f>
        <v>#N/A</v>
      </c>
    </row>
    <row r="66" spans="1:9" ht="32.25">
      <c r="A66" s="32"/>
      <c r="B66" s="5" t="s">
        <v>199</v>
      </c>
      <c r="C66" s="5" t="s">
        <v>200</v>
      </c>
      <c r="D66" s="5" t="s">
        <v>201</v>
      </c>
      <c r="E66" s="28"/>
      <c r="F66" s="5">
        <v>0</v>
      </c>
      <c r="G66" s="5">
        <v>1</v>
      </c>
      <c r="H66" s="5">
        <v>1</v>
      </c>
      <c r="I66" s="14" t="e">
        <f>VLOOKUP(B66,'CP設定檔(2023 IONIQ5)_backup'!A:B,2,FALSE)</f>
        <v>#N/A</v>
      </c>
    </row>
    <row r="67" spans="1:9" ht="32.25">
      <c r="A67" s="32"/>
      <c r="B67" s="5" t="s">
        <v>202</v>
      </c>
      <c r="C67" s="5" t="s">
        <v>203</v>
      </c>
      <c r="D67" s="5" t="s">
        <v>204</v>
      </c>
      <c r="E67" s="28"/>
      <c r="F67" s="5">
        <v>0</v>
      </c>
      <c r="G67" s="5">
        <v>1</v>
      </c>
      <c r="H67" s="5">
        <v>1</v>
      </c>
      <c r="I67" s="14" t="e">
        <f>VLOOKUP(B67,'CP設定檔(2023 IONIQ5)_backup'!A:B,2,FALSE)</f>
        <v>#N/A</v>
      </c>
    </row>
    <row r="68" spans="1:9" ht="32.25">
      <c r="A68" s="32"/>
      <c r="B68" s="5" t="s">
        <v>205</v>
      </c>
      <c r="C68" s="5" t="s">
        <v>206</v>
      </c>
      <c r="D68" s="5" t="s">
        <v>207</v>
      </c>
      <c r="E68" s="28"/>
      <c r="F68" s="5">
        <v>0</v>
      </c>
      <c r="G68" s="5">
        <v>4</v>
      </c>
      <c r="H68" s="5">
        <v>1</v>
      </c>
      <c r="I68" s="14" t="e">
        <f>VLOOKUP(B68,'CP設定檔(2023 IONIQ5)_backup'!A:B,2,FALSE)</f>
        <v>#N/A</v>
      </c>
    </row>
    <row r="69" spans="1:9" ht="32.25">
      <c r="A69" s="32"/>
      <c r="B69" s="5" t="s">
        <v>208</v>
      </c>
      <c r="C69" s="5" t="s">
        <v>209</v>
      </c>
      <c r="D69" s="5" t="s">
        <v>210</v>
      </c>
      <c r="E69" s="28"/>
      <c r="F69" s="5">
        <v>0</v>
      </c>
      <c r="G69" s="5">
        <v>30</v>
      </c>
      <c r="H69" s="5">
        <v>1</v>
      </c>
      <c r="I69" s="14" t="e">
        <f>VLOOKUP(B69,'CP設定檔(2023 IONIQ5)_backup'!A:B,2,FALSE)</f>
        <v>#N/A</v>
      </c>
    </row>
    <row r="70" spans="1:9" ht="32.25">
      <c r="A70" s="32"/>
      <c r="B70" s="5" t="s">
        <v>211</v>
      </c>
      <c r="C70" s="5" t="s">
        <v>212</v>
      </c>
      <c r="D70" s="5" t="s">
        <v>213</v>
      </c>
      <c r="E70" s="19"/>
      <c r="F70" s="5">
        <v>0</v>
      </c>
      <c r="G70" s="5">
        <v>1</v>
      </c>
      <c r="H70" s="5">
        <v>1</v>
      </c>
      <c r="I70" s="14" t="e">
        <f>VLOOKUP(B70,'CP設定檔(2023 IONIQ5)_backup'!A:B,2,FALSE)</f>
        <v>#N/A</v>
      </c>
    </row>
    <row r="71" spans="1:9" ht="48.4">
      <c r="A71" s="32"/>
      <c r="B71" s="5" t="s">
        <v>214</v>
      </c>
      <c r="C71" s="5" t="s">
        <v>215</v>
      </c>
      <c r="D71" s="5" t="s">
        <v>216</v>
      </c>
      <c r="E71" s="18" t="s">
        <v>217</v>
      </c>
      <c r="F71" s="5">
        <v>0</v>
      </c>
      <c r="G71" s="5">
        <v>1</v>
      </c>
      <c r="H71" s="5">
        <v>1</v>
      </c>
      <c r="I71" s="14" t="e">
        <f>VLOOKUP(B71,'CP設定檔(2023 IONIQ5)_backup'!A:B,2,FALSE)</f>
        <v>#N/A</v>
      </c>
    </row>
    <row r="72" spans="1:9" ht="32.25">
      <c r="A72" s="32"/>
      <c r="B72" s="5" t="s">
        <v>218</v>
      </c>
      <c r="C72" s="5" t="s">
        <v>219</v>
      </c>
      <c r="D72" s="5" t="s">
        <v>220</v>
      </c>
      <c r="E72" s="28"/>
      <c r="F72" s="5">
        <v>0</v>
      </c>
      <c r="G72" s="5">
        <v>50</v>
      </c>
      <c r="H72" s="5">
        <v>1</v>
      </c>
      <c r="I72" s="14" t="e">
        <f>VLOOKUP(B72,'CP設定檔(2023 IONIQ5)_backup'!A:B,2,FALSE)</f>
        <v>#N/A</v>
      </c>
    </row>
    <row r="73" spans="1:9" ht="48.4">
      <c r="A73" s="32"/>
      <c r="B73" s="5" t="s">
        <v>221</v>
      </c>
      <c r="C73" s="5" t="s">
        <v>222</v>
      </c>
      <c r="D73" s="5" t="s">
        <v>223</v>
      </c>
      <c r="E73" s="28"/>
      <c r="F73" s="5">
        <v>0</v>
      </c>
      <c r="G73" s="5">
        <v>1</v>
      </c>
      <c r="H73" s="5">
        <v>1</v>
      </c>
      <c r="I73" s="14" t="e">
        <f>VLOOKUP(B73,'CP設定檔(2023 IONIQ5)_backup'!A:B,2,FALSE)</f>
        <v>#N/A</v>
      </c>
    </row>
    <row r="74" spans="1:9" ht="32.25">
      <c r="A74" s="32"/>
      <c r="B74" s="5" t="s">
        <v>224</v>
      </c>
      <c r="C74" s="5" t="s">
        <v>225</v>
      </c>
      <c r="D74" s="5" t="s">
        <v>220</v>
      </c>
      <c r="E74" s="19"/>
      <c r="F74" s="5">
        <v>0</v>
      </c>
      <c r="G74" s="5">
        <v>50</v>
      </c>
      <c r="H74" s="5">
        <v>1</v>
      </c>
      <c r="I74" s="14" t="e">
        <f>VLOOKUP(B74,'CP設定檔(2023 IONIQ5)_backup'!A:B,2,FALSE)</f>
        <v>#N/A</v>
      </c>
    </row>
    <row r="75" spans="1:9" ht="32.25">
      <c r="A75" s="31" t="s">
        <v>226</v>
      </c>
      <c r="B75" s="5" t="s">
        <v>227</v>
      </c>
      <c r="C75" s="5" t="s">
        <v>228</v>
      </c>
      <c r="D75" s="5" t="s">
        <v>229</v>
      </c>
      <c r="E75" s="5" t="s">
        <v>230</v>
      </c>
      <c r="F75" s="5">
        <v>30</v>
      </c>
      <c r="G75" s="5">
        <v>200</v>
      </c>
      <c r="H75" s="5">
        <v>5</v>
      </c>
      <c r="I75" s="14">
        <f>VLOOKUP(B75,'CP設定檔(2023 IONIQ5)_backup'!A:B,2,FALSE)</f>
        <v>35</v>
      </c>
    </row>
    <row r="76" spans="1:9" ht="32.25">
      <c r="A76" s="32"/>
      <c r="B76" s="5" t="s">
        <v>231</v>
      </c>
      <c r="C76" s="5" t="s">
        <v>232</v>
      </c>
      <c r="D76" s="5" t="s">
        <v>233</v>
      </c>
      <c r="E76" s="5" t="s">
        <v>234</v>
      </c>
      <c r="F76" s="5">
        <v>50</v>
      </c>
      <c r="G76" s="5">
        <v>300</v>
      </c>
      <c r="H76" s="5">
        <v>1</v>
      </c>
      <c r="I76" s="14">
        <f>VLOOKUP(B76,'CP設定檔(2023 IONIQ5)_backup'!A:B,2,FALSE)</f>
        <v>85</v>
      </c>
    </row>
    <row r="77" spans="1:9" ht="32.25">
      <c r="A77" s="32"/>
      <c r="B77" s="5" t="s">
        <v>235</v>
      </c>
      <c r="C77" s="5" t="s">
        <v>236</v>
      </c>
      <c r="D77" s="5" t="s">
        <v>237</v>
      </c>
      <c r="E77" s="5" t="s">
        <v>238</v>
      </c>
      <c r="F77" s="5">
        <v>50</v>
      </c>
      <c r="G77" s="5">
        <v>300</v>
      </c>
      <c r="H77" s="5">
        <v>1</v>
      </c>
      <c r="I77" s="14">
        <f>VLOOKUP(B77,'CP設定檔(2023 IONIQ5)_backup'!A:B,2,FALSE)</f>
        <v>100</v>
      </c>
    </row>
    <row r="78" spans="1:9" ht="32.25">
      <c r="A78" s="32"/>
      <c r="B78" s="5" t="s">
        <v>239</v>
      </c>
      <c r="C78" s="5" t="s">
        <v>240</v>
      </c>
      <c r="D78" s="5" t="s">
        <v>233</v>
      </c>
      <c r="E78" s="18" t="s">
        <v>241</v>
      </c>
      <c r="F78" s="5">
        <v>50</v>
      </c>
      <c r="G78" s="5">
        <v>300</v>
      </c>
      <c r="H78" s="5">
        <v>1</v>
      </c>
      <c r="I78" s="14" t="e">
        <f>VLOOKUP(B78,'CP設定檔(2023 IONIQ5)_backup'!A:B,2,FALSE)</f>
        <v>#N/A</v>
      </c>
    </row>
    <row r="79" spans="1:9" ht="32.25">
      <c r="A79" s="32"/>
      <c r="B79" s="5" t="s">
        <v>242</v>
      </c>
      <c r="C79" s="5" t="s">
        <v>243</v>
      </c>
      <c r="D79" s="5" t="s">
        <v>237</v>
      </c>
      <c r="E79" s="19"/>
      <c r="F79" s="5">
        <v>50</v>
      </c>
      <c r="G79" s="5">
        <v>300</v>
      </c>
      <c r="H79" s="5">
        <v>1</v>
      </c>
      <c r="I79" s="14" t="e">
        <f>VLOOKUP(B79,'CP設定檔(2023 IONIQ5)_backup'!A:B,2,FALSE)</f>
        <v>#N/A</v>
      </c>
    </row>
    <row r="80" spans="1:9" ht="64.5">
      <c r="A80" s="32"/>
      <c r="B80" s="5" t="s">
        <v>244</v>
      </c>
      <c r="C80" s="5" t="s">
        <v>245</v>
      </c>
      <c r="D80" s="5" t="s">
        <v>246</v>
      </c>
      <c r="E80" s="5" t="s">
        <v>247</v>
      </c>
      <c r="F80" s="5">
        <v>-1</v>
      </c>
      <c r="G80" s="5">
        <v>100</v>
      </c>
      <c r="H80" s="5">
        <v>1</v>
      </c>
      <c r="I80" s="14">
        <f>VLOOKUP(B80,'CP設定檔(2023 IONIQ5)_backup'!A:B,2,FALSE)</f>
        <v>-1</v>
      </c>
    </row>
    <row r="81" spans="1:9" ht="64.5">
      <c r="A81" s="32"/>
      <c r="B81" s="5" t="s">
        <v>248</v>
      </c>
      <c r="C81" s="5" t="s">
        <v>249</v>
      </c>
      <c r="D81" s="5" t="s">
        <v>250</v>
      </c>
      <c r="E81" s="5"/>
      <c r="F81" s="5">
        <v>-1</v>
      </c>
      <c r="G81" s="5">
        <v>100</v>
      </c>
      <c r="H81" s="5">
        <v>5</v>
      </c>
      <c r="I81" s="14">
        <f>VLOOKUP(B81,'CP設定檔(2023 IONIQ5)_backup'!A:B,2,FALSE)</f>
        <v>50</v>
      </c>
    </row>
    <row r="82" spans="1:9" ht="32.25">
      <c r="A82" s="32"/>
      <c r="B82" s="5" t="s">
        <v>251</v>
      </c>
      <c r="C82" s="5" t="s">
        <v>252</v>
      </c>
      <c r="D82" s="5" t="s">
        <v>253</v>
      </c>
      <c r="E82" s="5" t="s">
        <v>254</v>
      </c>
      <c r="F82" s="5">
        <v>3</v>
      </c>
      <c r="G82" s="5">
        <v>20</v>
      </c>
      <c r="H82" s="5">
        <v>1</v>
      </c>
      <c r="I82" s="14">
        <f>VLOOKUP(B82,'CP設定檔(2023 IONIQ5)_backup'!A:B,2,FALSE)</f>
        <v>7</v>
      </c>
    </row>
    <row r="83" spans="1:9" ht="32.25">
      <c r="A83" s="32"/>
      <c r="B83" s="5" t="s">
        <v>255</v>
      </c>
      <c r="C83" s="5" t="s">
        <v>256</v>
      </c>
      <c r="D83" s="5" t="s">
        <v>257</v>
      </c>
      <c r="E83" s="5" t="s">
        <v>258</v>
      </c>
      <c r="F83" s="5">
        <v>0</v>
      </c>
      <c r="G83" s="5">
        <v>3</v>
      </c>
      <c r="H83" s="5">
        <v>1</v>
      </c>
      <c r="I83" s="14">
        <f>VLOOKUP(B83,'CP設定檔(2023 IONIQ5)_backup'!A:B,2,FALSE)</f>
        <v>3</v>
      </c>
    </row>
    <row r="84" spans="1:9" ht="32.65">
      <c r="A84" s="32"/>
      <c r="B84" s="5" t="s">
        <v>259</v>
      </c>
      <c r="C84" s="5" t="s">
        <v>260</v>
      </c>
      <c r="D84" s="5" t="s">
        <v>261</v>
      </c>
      <c r="E84" s="5" t="s">
        <v>262</v>
      </c>
      <c r="F84" s="5">
        <v>10</v>
      </c>
      <c r="G84" s="5">
        <v>200</v>
      </c>
      <c r="H84" s="5">
        <v>10</v>
      </c>
      <c r="I84" s="14">
        <f>VLOOKUP(B84,'CP設定檔(2023 IONIQ5)_backup'!A:B,2,FALSE)</f>
        <v>120</v>
      </c>
    </row>
    <row r="85" spans="1:9" ht="80.650000000000006">
      <c r="A85" s="32"/>
      <c r="B85" s="5" t="s">
        <v>263</v>
      </c>
      <c r="C85" s="5" t="s">
        <v>264</v>
      </c>
      <c r="D85" s="5" t="s">
        <v>265</v>
      </c>
      <c r="E85" s="5" t="s">
        <v>266</v>
      </c>
      <c r="F85" s="5">
        <v>80</v>
      </c>
      <c r="G85" s="5">
        <v>120</v>
      </c>
      <c r="H85" s="5">
        <v>1</v>
      </c>
      <c r="I85" s="14">
        <f>VLOOKUP(B85,'CP設定檔(2023 IONIQ5)_backup'!A:B,2,FALSE)</f>
        <v>105</v>
      </c>
    </row>
    <row r="86" spans="1:9" ht="16.149999999999999">
      <c r="A86" s="32"/>
      <c r="B86" s="5" t="s">
        <v>267</v>
      </c>
      <c r="C86" s="5" t="s">
        <v>268</v>
      </c>
      <c r="D86" s="5" t="s">
        <v>40</v>
      </c>
      <c r="E86" s="18" t="s">
        <v>269</v>
      </c>
      <c r="F86" s="5">
        <v>1</v>
      </c>
      <c r="G86" s="5">
        <v>50</v>
      </c>
      <c r="H86" s="5">
        <v>1</v>
      </c>
      <c r="I86" s="14">
        <f>VLOOKUP(B86,'CP設定檔(2023 IONIQ5)_backup'!A:B,2,FALSE)</f>
        <v>1</v>
      </c>
    </row>
    <row r="87" spans="1:9" ht="16.149999999999999">
      <c r="A87" s="32"/>
      <c r="B87" s="5" t="s">
        <v>270</v>
      </c>
      <c r="C87" s="5" t="s">
        <v>271</v>
      </c>
      <c r="D87" s="5" t="s">
        <v>40</v>
      </c>
      <c r="E87" s="19"/>
      <c r="F87" s="5">
        <v>10</v>
      </c>
      <c r="G87" s="5">
        <v>100</v>
      </c>
      <c r="H87" s="5">
        <v>5</v>
      </c>
      <c r="I87" s="14">
        <f>VLOOKUP(B87,'CP設定檔(2023 IONIQ5)_backup'!A:B,2,FALSE)</f>
        <v>35</v>
      </c>
    </row>
    <row r="88" spans="1:9" ht="32.25">
      <c r="A88" s="32"/>
      <c r="B88" s="5" t="s">
        <v>272</v>
      </c>
      <c r="C88" s="5" t="s">
        <v>273</v>
      </c>
      <c r="D88" s="5" t="s">
        <v>274</v>
      </c>
      <c r="E88" s="5" t="s">
        <v>275</v>
      </c>
      <c r="F88" s="5">
        <v>0</v>
      </c>
      <c r="G88" s="5">
        <v>2</v>
      </c>
      <c r="H88" s="5">
        <v>1</v>
      </c>
      <c r="I88" s="14">
        <f>VLOOKUP(B88,'CP設定檔(2023 IONIQ5)_backup'!A:B,2,FALSE)</f>
        <v>2</v>
      </c>
    </row>
    <row r="89" spans="1:9" ht="32.25">
      <c r="A89" s="32"/>
      <c r="B89" s="5" t="s">
        <v>276</v>
      </c>
      <c r="C89" s="5" t="s">
        <v>277</v>
      </c>
      <c r="D89" s="5" t="s">
        <v>278</v>
      </c>
      <c r="E89" s="5" t="s">
        <v>279</v>
      </c>
      <c r="F89" s="5">
        <v>0</v>
      </c>
      <c r="G89" s="5">
        <v>3</v>
      </c>
      <c r="H89" s="5">
        <v>1</v>
      </c>
      <c r="I89" s="14">
        <f>VLOOKUP(B89,'CP設定檔(2023 IONIQ5)_backup'!A:B,2,FALSE)</f>
        <v>2</v>
      </c>
    </row>
    <row r="90" spans="1:9" ht="64.5">
      <c r="A90" s="32"/>
      <c r="B90" s="5" t="s">
        <v>280</v>
      </c>
      <c r="C90" s="5" t="s">
        <v>281</v>
      </c>
      <c r="D90" s="5" t="s">
        <v>282</v>
      </c>
      <c r="E90" s="5" t="s">
        <v>283</v>
      </c>
      <c r="F90" s="5">
        <v>50</v>
      </c>
      <c r="G90" s="5">
        <v>300</v>
      </c>
      <c r="H90" s="5">
        <v>5</v>
      </c>
      <c r="I90" s="14">
        <f>VLOOKUP(B90,'CP設定檔(2023 IONIQ5)_backup'!A:B,2,FALSE)</f>
        <v>100</v>
      </c>
    </row>
    <row r="91" spans="1:9" ht="32.25">
      <c r="A91" s="32"/>
      <c r="B91" s="5" t="s">
        <v>284</v>
      </c>
      <c r="C91" s="5" t="s">
        <v>285</v>
      </c>
      <c r="D91" s="5" t="s">
        <v>286</v>
      </c>
      <c r="E91" s="5" t="s">
        <v>287</v>
      </c>
      <c r="F91" s="5">
        <v>0</v>
      </c>
      <c r="G91" s="5">
        <v>3</v>
      </c>
      <c r="H91" s="5">
        <v>1</v>
      </c>
      <c r="I91" s="14">
        <f>VLOOKUP(B91,'CP設定檔(2023 IONIQ5)_backup'!A:B,2,FALSE)</f>
        <v>2</v>
      </c>
    </row>
    <row r="92" spans="1:9" ht="32.25">
      <c r="A92" s="32"/>
      <c r="B92" s="5" t="s">
        <v>288</v>
      </c>
      <c r="C92" s="5" t="s">
        <v>289</v>
      </c>
      <c r="D92" s="5" t="s">
        <v>290</v>
      </c>
      <c r="E92" s="5" t="s">
        <v>291</v>
      </c>
      <c r="F92" s="5">
        <v>0</v>
      </c>
      <c r="G92" s="5">
        <v>100</v>
      </c>
      <c r="H92" s="5">
        <v>5</v>
      </c>
      <c r="I92" s="14">
        <f>VLOOKUP(B92,'CP設定檔(2023 IONIQ5)_backup'!A:B,2,FALSE)</f>
        <v>30</v>
      </c>
    </row>
    <row r="93" spans="1:9" ht="48.4">
      <c r="A93" s="32"/>
      <c r="B93" s="5" t="s">
        <v>292</v>
      </c>
      <c r="C93" s="5" t="s">
        <v>293</v>
      </c>
      <c r="D93" s="5" t="s">
        <v>294</v>
      </c>
      <c r="E93" s="5" t="s">
        <v>295</v>
      </c>
      <c r="F93" s="5">
        <v>0</v>
      </c>
      <c r="G93" s="5">
        <v>30</v>
      </c>
      <c r="H93" s="5">
        <v>1</v>
      </c>
      <c r="I93" s="14">
        <f>VLOOKUP(B93,'CP設定檔(2023 IONIQ5)_backup'!A:B,2,FALSE)</f>
        <v>4</v>
      </c>
    </row>
    <row r="94" spans="1:9" ht="32.25">
      <c r="A94" s="32"/>
      <c r="B94" s="5" t="s">
        <v>296</v>
      </c>
      <c r="C94" s="5" t="s">
        <v>297</v>
      </c>
      <c r="D94" s="5" t="s">
        <v>40</v>
      </c>
      <c r="E94" s="5" t="s">
        <v>298</v>
      </c>
      <c r="F94" s="5">
        <v>0</v>
      </c>
      <c r="G94" s="5">
        <v>1</v>
      </c>
      <c r="H94" s="5">
        <v>1</v>
      </c>
      <c r="I94" s="14">
        <f>VLOOKUP(B94,'CP設定檔(2023 IONIQ5)_backup'!A:B,2,FALSE)</f>
        <v>0</v>
      </c>
    </row>
    <row r="95" spans="1:9" ht="45">
      <c r="A95" s="31" t="s">
        <v>299</v>
      </c>
      <c r="B95" s="10" t="s">
        <v>300</v>
      </c>
      <c r="C95" s="10" t="s">
        <v>301</v>
      </c>
      <c r="D95" s="11" t="s">
        <v>302</v>
      </c>
      <c r="E95" s="12" t="s">
        <v>303</v>
      </c>
      <c r="F95" s="10">
        <v>0</v>
      </c>
      <c r="G95" s="10">
        <v>200</v>
      </c>
      <c r="H95" s="10">
        <v>5</v>
      </c>
      <c r="I95" s="14">
        <f>VLOOKUP(B95,'CP設定檔(2023 IONIQ5)_backup'!A:B,2,FALSE)</f>
        <v>30</v>
      </c>
    </row>
    <row r="96" spans="1:9" ht="60">
      <c r="A96" s="32"/>
      <c r="B96" s="10" t="s">
        <v>304</v>
      </c>
      <c r="C96" s="10" t="s">
        <v>305</v>
      </c>
      <c r="D96" s="11" t="s">
        <v>306</v>
      </c>
      <c r="E96" s="12" t="s">
        <v>307</v>
      </c>
      <c r="F96" s="10">
        <v>0</v>
      </c>
      <c r="G96" s="10">
        <v>200</v>
      </c>
      <c r="H96" s="10">
        <v>5</v>
      </c>
      <c r="I96" s="14">
        <f>VLOOKUP(B96,'CP設定檔(2023 IONIQ5)_backup'!A:B,2,FALSE)</f>
        <v>30</v>
      </c>
    </row>
    <row r="97" spans="1:9" ht="30">
      <c r="A97" s="32"/>
      <c r="B97" s="10" t="s">
        <v>308</v>
      </c>
      <c r="C97" s="10" t="s">
        <v>309</v>
      </c>
      <c r="D97" s="11" t="s">
        <v>40</v>
      </c>
      <c r="E97" s="12" t="s">
        <v>310</v>
      </c>
      <c r="F97" s="10">
        <v>0</v>
      </c>
      <c r="G97" s="10">
        <v>500</v>
      </c>
      <c r="H97" s="10">
        <v>5</v>
      </c>
      <c r="I97" s="14">
        <f>VLOOKUP(B97,'CP設定檔(2023 IONIQ5)_backup'!A:B,2,FALSE)</f>
        <v>0</v>
      </c>
    </row>
    <row r="98" spans="1:9" ht="60">
      <c r="A98" s="32"/>
      <c r="B98" s="10" t="s">
        <v>311</v>
      </c>
      <c r="C98" s="10" t="s">
        <v>312</v>
      </c>
      <c r="D98" s="11" t="s">
        <v>40</v>
      </c>
      <c r="E98" s="12" t="s">
        <v>313</v>
      </c>
      <c r="F98" s="10">
        <v>-500</v>
      </c>
      <c r="G98" s="10">
        <v>500</v>
      </c>
      <c r="H98" s="10">
        <v>5</v>
      </c>
      <c r="I98" s="14" t="e">
        <f>VLOOKUP(B98,'CP設定檔(2023 IONIQ5)_backup'!A:B,2,FALSE)</f>
        <v>#N/A</v>
      </c>
    </row>
    <row r="99" spans="1:9" ht="30">
      <c r="A99" s="32"/>
      <c r="B99" s="10" t="s">
        <v>314</v>
      </c>
      <c r="C99" s="10" t="s">
        <v>315</v>
      </c>
      <c r="D99" s="11" t="s">
        <v>316</v>
      </c>
      <c r="E99" s="13" t="s">
        <v>317</v>
      </c>
      <c r="F99" s="10">
        <v>-1</v>
      </c>
      <c r="G99" s="10">
        <v>1</v>
      </c>
      <c r="H99" s="10">
        <v>1</v>
      </c>
      <c r="I99" s="14">
        <f>VLOOKUP(B99,'CP設定檔(2023 IONIQ5)_backup'!A:B,2,FALSE)</f>
        <v>0</v>
      </c>
    </row>
    <row r="100" spans="1:9">
      <c r="A100" s="32"/>
      <c r="B100" s="10" t="s">
        <v>318</v>
      </c>
      <c r="C100" s="10" t="s">
        <v>319</v>
      </c>
      <c r="D100" s="11" t="s">
        <v>320</v>
      </c>
      <c r="E100" s="13" t="s">
        <v>321</v>
      </c>
      <c r="F100" s="10">
        <v>-1</v>
      </c>
      <c r="G100" s="10">
        <v>100</v>
      </c>
      <c r="H100" s="10">
        <v>5</v>
      </c>
      <c r="I100" s="14" t="e">
        <f>VLOOKUP(B100,'CP設定檔(2023 IONIQ5)_backup'!A:B,2,FALSE)</f>
        <v>#N/A</v>
      </c>
    </row>
    <row r="101" spans="1:9">
      <c r="A101" s="32"/>
      <c r="B101" s="10" t="s">
        <v>322</v>
      </c>
      <c r="C101" s="10" t="s">
        <v>323</v>
      </c>
      <c r="D101" s="11" t="s">
        <v>324</v>
      </c>
      <c r="E101" s="13" t="s">
        <v>325</v>
      </c>
      <c r="F101" s="10">
        <v>0</v>
      </c>
      <c r="G101" s="10">
        <v>100</v>
      </c>
      <c r="H101" s="10">
        <v>5</v>
      </c>
      <c r="I101" s="14">
        <f>VLOOKUP(B101,'CP設定檔(2023 IONIQ5)_backup'!A:B,2,FALSE)</f>
        <v>4</v>
      </c>
    </row>
    <row r="102" spans="1:9" ht="45">
      <c r="A102" s="32"/>
      <c r="B102" s="10" t="s">
        <v>326</v>
      </c>
      <c r="C102" s="10" t="s">
        <v>327</v>
      </c>
      <c r="D102" s="11" t="s">
        <v>328</v>
      </c>
      <c r="E102" s="13" t="s">
        <v>329</v>
      </c>
      <c r="F102" s="10">
        <v>-1</v>
      </c>
      <c r="G102" s="10">
        <v>1</v>
      </c>
      <c r="H102" s="10">
        <v>1</v>
      </c>
      <c r="I102" s="14">
        <f>VLOOKUP(B102,'CP設定檔(2023 IONIQ5)_backup'!A:B,2,FALSE)</f>
        <v>0</v>
      </c>
    </row>
    <row r="103" spans="1:9" ht="45">
      <c r="A103" s="32"/>
      <c r="B103" s="10" t="s">
        <v>330</v>
      </c>
      <c r="C103" s="10" t="s">
        <v>331</v>
      </c>
      <c r="D103" s="11" t="s">
        <v>332</v>
      </c>
      <c r="E103" s="13" t="s">
        <v>333</v>
      </c>
      <c r="F103" s="10">
        <v>0</v>
      </c>
      <c r="G103" s="10">
        <v>300</v>
      </c>
      <c r="H103" s="10">
        <v>1</v>
      </c>
      <c r="I103" s="14">
        <f>VLOOKUP(B103,'CP設定檔(2023 IONIQ5)_backup'!A:B,2,FALSE)</f>
        <v>0</v>
      </c>
    </row>
    <row r="104" spans="1:9" ht="60">
      <c r="A104" s="32"/>
      <c r="B104" s="10" t="s">
        <v>334</v>
      </c>
      <c r="C104" s="10" t="s">
        <v>335</v>
      </c>
      <c r="D104" s="11" t="s">
        <v>336</v>
      </c>
      <c r="E104" s="10"/>
      <c r="F104" s="10">
        <v>30</v>
      </c>
      <c r="G104" s="10">
        <v>170</v>
      </c>
      <c r="H104" s="10">
        <v>1</v>
      </c>
      <c r="I104" s="14">
        <f>VLOOKUP(B104,'CP設定檔(2023 IONIQ5)_backup'!A:B,2,FALSE)</f>
        <v>100</v>
      </c>
    </row>
    <row r="105" spans="1:9">
      <c r="A105" s="32"/>
      <c r="B105" s="10" t="s">
        <v>337</v>
      </c>
      <c r="C105" s="10" t="s">
        <v>338</v>
      </c>
      <c r="D105" s="11" t="s">
        <v>339</v>
      </c>
      <c r="E105" s="11" t="s">
        <v>339</v>
      </c>
      <c r="F105" s="10">
        <v>-150</v>
      </c>
      <c r="G105" s="10">
        <v>150</v>
      </c>
      <c r="H105" s="10">
        <v>1</v>
      </c>
      <c r="I105" s="14">
        <f>VLOOKUP(B105,'CP設定檔(2023 IONIQ5)_backup'!A:B,2,FALSE)</f>
        <v>-5</v>
      </c>
    </row>
    <row r="106" spans="1:9" ht="45">
      <c r="A106" s="32"/>
      <c r="B106" s="10" t="s">
        <v>340</v>
      </c>
      <c r="C106" s="10" t="s">
        <v>341</v>
      </c>
      <c r="D106" s="11" t="s">
        <v>342</v>
      </c>
      <c r="E106" s="13" t="s">
        <v>343</v>
      </c>
      <c r="F106" s="10">
        <v>0</v>
      </c>
      <c r="G106" s="10">
        <v>100</v>
      </c>
      <c r="H106" s="10">
        <v>1</v>
      </c>
      <c r="I106" s="14">
        <f>VLOOKUP(B106,'CP設定檔(2023 IONIQ5)_backup'!A:B,2,FALSE)</f>
        <v>0</v>
      </c>
    </row>
    <row r="107" spans="1:9" ht="45">
      <c r="A107" s="32"/>
      <c r="B107" s="10" t="s">
        <v>344</v>
      </c>
      <c r="C107" s="10" t="s">
        <v>345</v>
      </c>
      <c r="D107" s="11" t="s">
        <v>346</v>
      </c>
      <c r="E107" s="20" t="s">
        <v>347</v>
      </c>
      <c r="F107" s="10">
        <v>0</v>
      </c>
      <c r="G107" s="10">
        <v>2</v>
      </c>
      <c r="H107" s="10">
        <v>1</v>
      </c>
      <c r="I107" s="14">
        <f>VLOOKUP(B107,'CP設定檔(2023 IONIQ5)_backup'!A:B,2,FALSE)</f>
        <v>1</v>
      </c>
    </row>
    <row r="108" spans="1:9">
      <c r="A108" s="32"/>
      <c r="B108" s="10" t="s">
        <v>348</v>
      </c>
      <c r="C108" s="10" t="s">
        <v>349</v>
      </c>
      <c r="D108" s="11" t="s">
        <v>348</v>
      </c>
      <c r="E108" s="21"/>
      <c r="F108" s="10">
        <v>1000</v>
      </c>
      <c r="G108" s="10">
        <v>6000</v>
      </c>
      <c r="H108" s="10">
        <v>10</v>
      </c>
      <c r="I108" s="14">
        <f>VLOOKUP(B108,'CP設定檔(2023 IONIQ5)_backup'!A:B,2,FALSE)</f>
        <v>2500</v>
      </c>
    </row>
    <row r="109" spans="1:9">
      <c r="A109" s="32"/>
      <c r="B109" s="10" t="s">
        <v>350</v>
      </c>
      <c r="C109" s="10" t="s">
        <v>351</v>
      </c>
      <c r="D109" s="11" t="s">
        <v>350</v>
      </c>
      <c r="E109" s="21"/>
      <c r="F109" s="10">
        <v>0</v>
      </c>
      <c r="G109" s="10">
        <v>1000</v>
      </c>
      <c r="H109" s="10">
        <v>10</v>
      </c>
      <c r="I109" s="14">
        <f>VLOOKUP(B109,'CP設定檔(2023 IONIQ5)_backup'!A:B,2,FALSE)</f>
        <v>10</v>
      </c>
    </row>
    <row r="110" spans="1:9">
      <c r="A110" s="32"/>
      <c r="B110" s="10" t="s">
        <v>352</v>
      </c>
      <c r="C110" s="10" t="s">
        <v>353</v>
      </c>
      <c r="D110" s="11" t="s">
        <v>352</v>
      </c>
      <c r="E110" s="22"/>
      <c r="F110" s="10">
        <v>0</v>
      </c>
      <c r="G110" s="10">
        <v>30000</v>
      </c>
      <c r="H110" s="10">
        <v>5</v>
      </c>
      <c r="I110" s="14">
        <f>VLOOKUP(B110,'CP設定檔(2023 IONIQ5)_backup'!A:B,2,FALSE)</f>
        <v>0</v>
      </c>
    </row>
    <row r="111" spans="1:9">
      <c r="A111" s="32"/>
      <c r="B111" s="10" t="s">
        <v>354</v>
      </c>
      <c r="C111" s="10" t="s">
        <v>355</v>
      </c>
      <c r="D111" s="11" t="s">
        <v>354</v>
      </c>
      <c r="E111" s="13" t="s">
        <v>356</v>
      </c>
      <c r="F111" s="10">
        <v>0</v>
      </c>
      <c r="G111" s="10">
        <v>50</v>
      </c>
      <c r="H111" s="10">
        <v>1</v>
      </c>
      <c r="I111" s="14">
        <f>VLOOKUP(B111,'CP設定檔(2023 IONIQ5)_backup'!A:B,2,FALSE)</f>
        <v>5</v>
      </c>
    </row>
    <row r="112" spans="1:9">
      <c r="A112" s="32"/>
      <c r="B112" s="10" t="s">
        <v>357</v>
      </c>
      <c r="C112" s="10" t="s">
        <v>358</v>
      </c>
      <c r="D112" s="11" t="s">
        <v>357</v>
      </c>
      <c r="E112" s="13" t="s">
        <v>359</v>
      </c>
      <c r="F112" s="10">
        <v>0</v>
      </c>
      <c r="G112" s="10">
        <v>50</v>
      </c>
      <c r="H112" s="10">
        <v>1</v>
      </c>
      <c r="I112" s="14">
        <f>VLOOKUP(B112,'CP設定檔(2023 IONIQ5)_backup'!A:B,2,FALSE)</f>
        <v>5</v>
      </c>
    </row>
    <row r="113" spans="1:9">
      <c r="A113" s="32"/>
      <c r="B113" s="10" t="s">
        <v>360</v>
      </c>
      <c r="C113" s="10" t="s">
        <v>361</v>
      </c>
      <c r="D113" s="11" t="s">
        <v>360</v>
      </c>
      <c r="E113" s="20" t="s">
        <v>362</v>
      </c>
      <c r="F113" s="10">
        <v>0</v>
      </c>
      <c r="G113" s="10">
        <v>150</v>
      </c>
      <c r="H113" s="10">
        <v>5</v>
      </c>
      <c r="I113" s="14">
        <f>VLOOKUP(B113,'CP設定檔(2023 IONIQ5)_backup'!A:B,2,FALSE)</f>
        <v>100</v>
      </c>
    </row>
    <row r="114" spans="1:9">
      <c r="A114" s="32"/>
      <c r="B114" s="10" t="s">
        <v>363</v>
      </c>
      <c r="C114" s="10" t="s">
        <v>364</v>
      </c>
      <c r="D114" s="11" t="s">
        <v>363</v>
      </c>
      <c r="E114" s="23"/>
      <c r="F114" s="10">
        <v>0</v>
      </c>
      <c r="G114" s="10">
        <v>2000</v>
      </c>
      <c r="H114" s="10">
        <v>5</v>
      </c>
      <c r="I114" s="14">
        <f>VLOOKUP(B114,'CP設定檔(2023 IONIQ5)_backup'!A:B,2,FALSE)</f>
        <v>0</v>
      </c>
    </row>
    <row r="115" spans="1:9">
      <c r="A115" s="32"/>
      <c r="B115" s="10" t="s">
        <v>365</v>
      </c>
      <c r="C115" s="10" t="s">
        <v>366</v>
      </c>
      <c r="D115" s="11" t="s">
        <v>365</v>
      </c>
      <c r="E115" s="23"/>
      <c r="F115" s="10">
        <v>0</v>
      </c>
      <c r="G115" s="10">
        <v>200</v>
      </c>
      <c r="H115" s="10">
        <v>5</v>
      </c>
      <c r="I115" s="14">
        <f>VLOOKUP(B115,'CP設定檔(2023 IONIQ5)_backup'!A:B,2,FALSE)</f>
        <v>100</v>
      </c>
    </row>
    <row r="116" spans="1:9">
      <c r="A116" s="32"/>
      <c r="B116" s="10" t="s">
        <v>367</v>
      </c>
      <c r="C116" s="10" t="s">
        <v>368</v>
      </c>
      <c r="D116" s="11" t="s">
        <v>367</v>
      </c>
      <c r="E116" s="23"/>
      <c r="F116" s="10">
        <v>0</v>
      </c>
      <c r="G116" s="10">
        <v>200</v>
      </c>
      <c r="H116" s="10">
        <v>5</v>
      </c>
      <c r="I116" s="14">
        <f>VLOOKUP(B116,'CP設定檔(2023 IONIQ5)_backup'!A:B,2,FALSE)</f>
        <v>20</v>
      </c>
    </row>
    <row r="117" spans="1:9" ht="45">
      <c r="A117" s="32"/>
      <c r="B117" s="10" t="s">
        <v>369</v>
      </c>
      <c r="C117" s="10" t="s">
        <v>370</v>
      </c>
      <c r="D117" s="11" t="s">
        <v>371</v>
      </c>
      <c r="E117" s="24"/>
      <c r="F117" s="10">
        <v>1</v>
      </c>
      <c r="G117" s="10">
        <v>100</v>
      </c>
      <c r="H117" s="10">
        <v>5</v>
      </c>
      <c r="I117" s="14">
        <f>VLOOKUP(B117,'CP設定檔(2023 IONIQ5)_backup'!A:B,2,FALSE)</f>
        <v>5</v>
      </c>
    </row>
    <row r="118" spans="1:9">
      <c r="A118" s="32"/>
      <c r="B118" s="10" t="s">
        <v>372</v>
      </c>
      <c r="C118" s="10" t="s">
        <v>373</v>
      </c>
      <c r="D118" s="11" t="s">
        <v>372</v>
      </c>
      <c r="E118" s="13" t="s">
        <v>374</v>
      </c>
      <c r="F118" s="10">
        <v>0</v>
      </c>
      <c r="G118" s="10">
        <v>200</v>
      </c>
      <c r="H118" s="10">
        <v>10</v>
      </c>
      <c r="I118" s="14">
        <f>VLOOKUP(B118,'CP設定檔(2023 IONIQ5)_backup'!A:B,2,FALSE)</f>
        <v>95</v>
      </c>
    </row>
    <row r="119" spans="1:9">
      <c r="A119" s="32"/>
      <c r="B119" s="10" t="s">
        <v>375</v>
      </c>
      <c r="C119" s="10" t="s">
        <v>376</v>
      </c>
      <c r="D119" s="11" t="s">
        <v>375</v>
      </c>
      <c r="E119" s="13" t="s">
        <v>377</v>
      </c>
      <c r="F119" s="10">
        <v>-100</v>
      </c>
      <c r="G119" s="10">
        <v>0</v>
      </c>
      <c r="H119" s="10">
        <v>5</v>
      </c>
      <c r="I119" s="14">
        <f>VLOOKUP(B119,'CP設定檔(2023 IONIQ5)_backup'!A:B,2,FALSE)</f>
        <v>0</v>
      </c>
    </row>
    <row r="120" spans="1:9" ht="30">
      <c r="A120" s="32"/>
      <c r="B120" s="10" t="s">
        <v>378</v>
      </c>
      <c r="C120" s="10" t="s">
        <v>379</v>
      </c>
      <c r="D120" s="11" t="s">
        <v>378</v>
      </c>
      <c r="E120" s="12" t="s">
        <v>380</v>
      </c>
      <c r="F120" s="10">
        <v>300</v>
      </c>
      <c r="G120" s="10">
        <v>1000</v>
      </c>
      <c r="H120" s="10">
        <v>10</v>
      </c>
      <c r="I120" s="14">
        <f>VLOOKUP(B120,'CP設定檔(2023 IONIQ5)_backup'!A:B,2,FALSE)</f>
        <v>500</v>
      </c>
    </row>
    <row r="121" spans="1:9">
      <c r="A121" s="32"/>
      <c r="B121" s="10" t="s">
        <v>381</v>
      </c>
      <c r="C121" s="10" t="s">
        <v>382</v>
      </c>
      <c r="D121" s="11" t="s">
        <v>383</v>
      </c>
      <c r="E121" s="13" t="s">
        <v>384</v>
      </c>
      <c r="F121" s="10">
        <v>0</v>
      </c>
      <c r="G121" s="10">
        <v>100</v>
      </c>
      <c r="H121" s="10">
        <v>5</v>
      </c>
      <c r="I121" s="14">
        <f>VLOOKUP(B121,'CP設定檔(2023 IONIQ5)_backup'!A:B,2,FALSE)</f>
        <v>15</v>
      </c>
    </row>
    <row r="122" spans="1:9" ht="30">
      <c r="A122" s="32"/>
      <c r="B122" s="10" t="s">
        <v>385</v>
      </c>
      <c r="C122" s="10" t="s">
        <v>386</v>
      </c>
      <c r="D122" s="11" t="s">
        <v>387</v>
      </c>
      <c r="E122" s="25" t="s">
        <v>388</v>
      </c>
      <c r="F122" s="10">
        <v>1</v>
      </c>
      <c r="G122" s="10">
        <v>250</v>
      </c>
      <c r="H122" s="10">
        <v>5</v>
      </c>
      <c r="I122" s="14">
        <f>VLOOKUP(B122,'CP設定檔(2023 IONIQ5)_backup'!A:B,2,FALSE)</f>
        <v>155</v>
      </c>
    </row>
    <row r="123" spans="1:9" ht="30">
      <c r="A123" s="32"/>
      <c r="B123" s="10" t="s">
        <v>389</v>
      </c>
      <c r="C123" s="10" t="s">
        <v>390</v>
      </c>
      <c r="D123" s="11" t="s">
        <v>387</v>
      </c>
      <c r="E123" s="26"/>
      <c r="F123" s="10">
        <v>1</v>
      </c>
      <c r="G123" s="10">
        <v>250</v>
      </c>
      <c r="H123" s="10">
        <v>5</v>
      </c>
      <c r="I123" s="14">
        <f>VLOOKUP(B123,'CP設定檔(2023 IONIQ5)_backup'!A:B,2,FALSE)</f>
        <v>165</v>
      </c>
    </row>
    <row r="124" spans="1:9" ht="30">
      <c r="A124" s="32"/>
      <c r="B124" s="10" t="s">
        <v>391</v>
      </c>
      <c r="C124" s="10" t="s">
        <v>392</v>
      </c>
      <c r="D124" s="11" t="s">
        <v>387</v>
      </c>
      <c r="E124" s="26"/>
      <c r="F124" s="10">
        <v>1</v>
      </c>
      <c r="G124" s="10">
        <v>250</v>
      </c>
      <c r="H124" s="10">
        <v>5</v>
      </c>
      <c r="I124" s="14">
        <f>VLOOKUP(B124,'CP設定檔(2023 IONIQ5)_backup'!A:B,2,FALSE)</f>
        <v>140</v>
      </c>
    </row>
    <row r="125" spans="1:9" ht="30">
      <c r="A125" s="32"/>
      <c r="B125" s="10" t="s">
        <v>393</v>
      </c>
      <c r="C125" s="10" t="s">
        <v>394</v>
      </c>
      <c r="D125" s="11" t="s">
        <v>387</v>
      </c>
      <c r="E125" s="26"/>
      <c r="F125" s="10">
        <v>1</v>
      </c>
      <c r="G125" s="10">
        <v>250</v>
      </c>
      <c r="H125" s="10">
        <v>5</v>
      </c>
      <c r="I125" s="14">
        <f>VLOOKUP(B125,'CP設定檔(2023 IONIQ5)_backup'!A:B,2,FALSE)</f>
        <v>130</v>
      </c>
    </row>
    <row r="126" spans="1:9" ht="30">
      <c r="A126" s="32"/>
      <c r="B126" s="10" t="s">
        <v>395</v>
      </c>
      <c r="C126" s="10" t="s">
        <v>396</v>
      </c>
      <c r="D126" s="11" t="s">
        <v>387</v>
      </c>
      <c r="E126" s="26"/>
      <c r="F126" s="10">
        <v>1</v>
      </c>
      <c r="G126" s="10">
        <v>250</v>
      </c>
      <c r="H126" s="10">
        <v>5</v>
      </c>
      <c r="I126" s="14">
        <f>VLOOKUP(B126,'CP設定檔(2023 IONIQ5)_backup'!A:B,2,FALSE)</f>
        <v>110</v>
      </c>
    </row>
    <row r="127" spans="1:9" ht="30">
      <c r="A127" s="32"/>
      <c r="B127" s="10" t="s">
        <v>397</v>
      </c>
      <c r="C127" s="10" t="s">
        <v>398</v>
      </c>
      <c r="D127" s="11" t="s">
        <v>387</v>
      </c>
      <c r="E127" s="26"/>
      <c r="F127" s="10">
        <v>1</v>
      </c>
      <c r="G127" s="10">
        <v>250</v>
      </c>
      <c r="H127" s="10">
        <v>5</v>
      </c>
      <c r="I127" s="14">
        <f>VLOOKUP(B127,'CP設定檔(2023 IONIQ5)_backup'!A:B,2,FALSE)</f>
        <v>95</v>
      </c>
    </row>
    <row r="128" spans="1:9" ht="30">
      <c r="A128" s="32"/>
      <c r="B128" s="10" t="s">
        <v>399</v>
      </c>
      <c r="C128" s="10" t="s">
        <v>400</v>
      </c>
      <c r="D128" s="11" t="s">
        <v>387</v>
      </c>
      <c r="E128" s="27"/>
      <c r="F128" s="10">
        <v>1</v>
      </c>
      <c r="G128" s="10">
        <v>250</v>
      </c>
      <c r="H128" s="10">
        <v>5</v>
      </c>
      <c r="I128" s="14">
        <f>VLOOKUP(B128,'CP設定檔(2023 IONIQ5)_backup'!A:B,2,FALSE)</f>
        <v>80</v>
      </c>
    </row>
    <row r="129" spans="1:9" ht="30">
      <c r="A129" s="32"/>
      <c r="B129" s="10" t="s">
        <v>401</v>
      </c>
      <c r="C129" s="10" t="s">
        <v>402</v>
      </c>
      <c r="D129" s="11" t="s">
        <v>403</v>
      </c>
      <c r="E129" s="13" t="s">
        <v>404</v>
      </c>
      <c r="F129" s="10">
        <v>80</v>
      </c>
      <c r="G129" s="10">
        <v>100</v>
      </c>
      <c r="H129" s="10">
        <v>1</v>
      </c>
      <c r="I129" s="14">
        <f>VLOOKUP(B129,'CP設定檔(2023 IONIQ5)_backup'!A:B,2,FALSE)</f>
        <v>89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E122:E128"/>
    <mergeCell ref="E4:E27"/>
    <mergeCell ref="E28:E31"/>
    <mergeCell ref="E38:E41"/>
    <mergeCell ref="E64:E70"/>
    <mergeCell ref="E71:E74"/>
    <mergeCell ref="A1:H2"/>
    <mergeCell ref="E78:E79"/>
    <mergeCell ref="E86:E87"/>
    <mergeCell ref="E107:E110"/>
    <mergeCell ref="E113:E117"/>
    <mergeCell ref="A4:A27"/>
    <mergeCell ref="A28:A36"/>
    <mergeCell ref="A37:A74"/>
    <mergeCell ref="A75:A94"/>
    <mergeCell ref="A95:A129"/>
  </mergeCells>
  <phoneticPr fontId="7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DF3E-E4DE-4DD2-A765-D343F3272880}">
  <dimension ref="A1:B160"/>
  <sheetViews>
    <sheetView topLeftCell="A129" workbookViewId="0">
      <selection activeCell="A145" sqref="A1:A1048576"/>
    </sheetView>
  </sheetViews>
  <sheetFormatPr defaultRowHeight="15"/>
  <cols>
    <col min="1" max="1" width="32.140625" customWidth="1"/>
    <col min="2" max="2" width="49" bestFit="1" customWidth="1"/>
  </cols>
  <sheetData>
    <row r="1" spans="1:2">
      <c r="A1" t="s">
        <v>410</v>
      </c>
      <c r="B1">
        <v>10</v>
      </c>
    </row>
    <row r="2" spans="1:2">
      <c r="A2" t="s">
        <v>411</v>
      </c>
      <c r="B2">
        <v>0</v>
      </c>
    </row>
    <row r="3" spans="1:2">
      <c r="A3" t="s">
        <v>308</v>
      </c>
      <c r="B3">
        <v>0</v>
      </c>
    </row>
    <row r="4" spans="1:2">
      <c r="A4" t="s">
        <v>412</v>
      </c>
      <c r="B4">
        <v>60</v>
      </c>
    </row>
    <row r="5" spans="1:2">
      <c r="A5" t="s">
        <v>23</v>
      </c>
      <c r="B5">
        <v>0</v>
      </c>
    </row>
    <row r="6" spans="1:2">
      <c r="A6" t="s">
        <v>235</v>
      </c>
      <c r="B6">
        <v>100</v>
      </c>
    </row>
    <row r="7" spans="1:2">
      <c r="A7" t="s">
        <v>231</v>
      </c>
      <c r="B7">
        <v>85</v>
      </c>
    </row>
    <row r="8" spans="1:2">
      <c r="A8" t="s">
        <v>227</v>
      </c>
      <c r="B8">
        <v>35</v>
      </c>
    </row>
    <row r="9" spans="1:2">
      <c r="A9" t="s">
        <v>29</v>
      </c>
      <c r="B9">
        <v>1</v>
      </c>
    </row>
    <row r="10" spans="1:2">
      <c r="A10" t="s">
        <v>61</v>
      </c>
      <c r="B10">
        <v>0</v>
      </c>
    </row>
    <row r="11" spans="1:2">
      <c r="A11" t="s">
        <v>32</v>
      </c>
      <c r="B11">
        <v>80</v>
      </c>
    </row>
    <row r="12" spans="1:2">
      <c r="A12" t="s">
        <v>272</v>
      </c>
      <c r="B12">
        <v>2</v>
      </c>
    </row>
    <row r="13" spans="1:2">
      <c r="A13" t="s">
        <v>270</v>
      </c>
      <c r="B13">
        <v>35</v>
      </c>
    </row>
    <row r="14" spans="1:2">
      <c r="A14" t="s">
        <v>267</v>
      </c>
      <c r="B14">
        <v>1</v>
      </c>
    </row>
    <row r="15" spans="1:2">
      <c r="A15" t="s">
        <v>251</v>
      </c>
      <c r="B15">
        <v>7</v>
      </c>
    </row>
    <row r="16" spans="1:2">
      <c r="A16" t="s">
        <v>255</v>
      </c>
      <c r="B16">
        <v>3</v>
      </c>
    </row>
    <row r="17" spans="1:2">
      <c r="A17" t="s">
        <v>259</v>
      </c>
      <c r="B17">
        <v>120</v>
      </c>
    </row>
    <row r="18" spans="1:2">
      <c r="A18" t="s">
        <v>263</v>
      </c>
      <c r="B18">
        <v>105</v>
      </c>
    </row>
    <row r="19" spans="1:2">
      <c r="A19" t="s">
        <v>248</v>
      </c>
      <c r="B19">
        <v>50</v>
      </c>
    </row>
    <row r="20" spans="1:2">
      <c r="A20" t="s">
        <v>244</v>
      </c>
      <c r="B20">
        <v>-1</v>
      </c>
    </row>
    <row r="21" spans="1:2">
      <c r="A21" t="s">
        <v>413</v>
      </c>
      <c r="B21">
        <v>0</v>
      </c>
    </row>
    <row r="22" spans="1:2">
      <c r="A22" t="s">
        <v>284</v>
      </c>
      <c r="B22">
        <v>2</v>
      </c>
    </row>
    <row r="23" spans="1:2">
      <c r="A23" t="s">
        <v>288</v>
      </c>
      <c r="B23">
        <v>30</v>
      </c>
    </row>
    <row r="24" spans="1:2">
      <c r="A24" t="s">
        <v>292</v>
      </c>
      <c r="B24">
        <v>4</v>
      </c>
    </row>
    <row r="25" spans="1:2">
      <c r="A25" t="s">
        <v>296</v>
      </c>
      <c r="B25">
        <v>0</v>
      </c>
    </row>
    <row r="26" spans="1:2">
      <c r="A26" t="s">
        <v>414</v>
      </c>
      <c r="B26">
        <v>0</v>
      </c>
    </row>
    <row r="27" spans="1:2">
      <c r="A27" t="s">
        <v>415</v>
      </c>
      <c r="B27">
        <v>0</v>
      </c>
    </row>
    <row r="28" spans="1:2">
      <c r="A28" t="s">
        <v>416</v>
      </c>
      <c r="B28">
        <v>0</v>
      </c>
    </row>
    <row r="29" spans="1:2">
      <c r="A29" t="s">
        <v>14</v>
      </c>
      <c r="B29">
        <v>2</v>
      </c>
    </row>
    <row r="30" spans="1:2">
      <c r="A30" t="s">
        <v>417</v>
      </c>
      <c r="B30">
        <v>-1</v>
      </c>
    </row>
    <row r="31" spans="1:2">
      <c r="A31" t="s">
        <v>418</v>
      </c>
      <c r="B31">
        <v>1</v>
      </c>
    </row>
    <row r="32" spans="1:2">
      <c r="A32" t="s">
        <v>419</v>
      </c>
      <c r="B32" t="s">
        <v>408</v>
      </c>
    </row>
    <row r="33" spans="1:2">
      <c r="A33" t="s">
        <v>420</v>
      </c>
      <c r="B33" t="s">
        <v>407</v>
      </c>
    </row>
    <row r="34" spans="1:2">
      <c r="A34" t="s">
        <v>421</v>
      </c>
      <c r="B34">
        <v>40</v>
      </c>
    </row>
    <row r="35" spans="1:2">
      <c r="A35" t="s">
        <v>422</v>
      </c>
      <c r="B35">
        <v>1</v>
      </c>
    </row>
    <row r="36" spans="1:2">
      <c r="A36" t="s">
        <v>423</v>
      </c>
      <c r="B36">
        <v>8</v>
      </c>
    </row>
    <row r="37" spans="1:2">
      <c r="A37" t="s">
        <v>424</v>
      </c>
      <c r="B37">
        <v>30</v>
      </c>
    </row>
    <row r="38" spans="1:2">
      <c r="A38" t="s">
        <v>425</v>
      </c>
      <c r="B38">
        <v>1</v>
      </c>
    </row>
    <row r="39" spans="1:2">
      <c r="A39" t="s">
        <v>426</v>
      </c>
      <c r="B39">
        <v>2</v>
      </c>
    </row>
    <row r="40" spans="1:2">
      <c r="A40" t="s">
        <v>385</v>
      </c>
      <c r="B40">
        <v>155</v>
      </c>
    </row>
    <row r="41" spans="1:2">
      <c r="A41" t="s">
        <v>389</v>
      </c>
      <c r="B41">
        <v>165</v>
      </c>
    </row>
    <row r="42" spans="1:2">
      <c r="A42" t="s">
        <v>391</v>
      </c>
      <c r="B42">
        <v>140</v>
      </c>
    </row>
    <row r="43" spans="1:2">
      <c r="A43" t="s">
        <v>393</v>
      </c>
      <c r="B43">
        <v>130</v>
      </c>
    </row>
    <row r="44" spans="1:2">
      <c r="A44" t="s">
        <v>395</v>
      </c>
      <c r="B44">
        <v>110</v>
      </c>
    </row>
    <row r="45" spans="1:2">
      <c r="A45" t="s">
        <v>397</v>
      </c>
      <c r="B45">
        <v>95</v>
      </c>
    </row>
    <row r="46" spans="1:2">
      <c r="A46" t="s">
        <v>399</v>
      </c>
      <c r="B46">
        <v>80</v>
      </c>
    </row>
    <row r="47" spans="1:2">
      <c r="A47" t="s">
        <v>26</v>
      </c>
      <c r="B47">
        <v>400</v>
      </c>
    </row>
    <row r="48" spans="1:2">
      <c r="A48" t="s">
        <v>427</v>
      </c>
      <c r="B48">
        <v>30</v>
      </c>
    </row>
    <row r="49" spans="1:2">
      <c r="A49" t="s">
        <v>428</v>
      </c>
      <c r="B49">
        <v>50</v>
      </c>
    </row>
    <row r="50" spans="1:2">
      <c r="A50" t="s">
        <v>429</v>
      </c>
      <c r="B50">
        <v>80</v>
      </c>
    </row>
    <row r="51" spans="1:2">
      <c r="A51" t="s">
        <v>430</v>
      </c>
      <c r="B51">
        <v>110</v>
      </c>
    </row>
    <row r="52" spans="1:2">
      <c r="A52" t="s">
        <v>431</v>
      </c>
      <c r="B52">
        <v>130</v>
      </c>
    </row>
    <row r="53" spans="1:2">
      <c r="A53" t="s">
        <v>432</v>
      </c>
      <c r="B53">
        <v>5</v>
      </c>
    </row>
    <row r="54" spans="1:2">
      <c r="A54" t="s">
        <v>433</v>
      </c>
      <c r="B54">
        <v>5</v>
      </c>
    </row>
    <row r="55" spans="1:2">
      <c r="A55" t="s">
        <v>330</v>
      </c>
      <c r="B55">
        <v>0</v>
      </c>
    </row>
    <row r="56" spans="1:2">
      <c r="A56" t="s">
        <v>357</v>
      </c>
      <c r="B56">
        <v>5</v>
      </c>
    </row>
    <row r="57" spans="1:2">
      <c r="A57" t="s">
        <v>434</v>
      </c>
      <c r="B57">
        <v>3</v>
      </c>
    </row>
    <row r="58" spans="1:2">
      <c r="A58" t="s">
        <v>354</v>
      </c>
      <c r="B58">
        <v>5</v>
      </c>
    </row>
    <row r="59" spans="1:2">
      <c r="A59" t="s">
        <v>435</v>
      </c>
      <c r="B59">
        <v>3</v>
      </c>
    </row>
    <row r="60" spans="1:2">
      <c r="A60" t="s">
        <v>352</v>
      </c>
      <c r="B60">
        <v>0</v>
      </c>
    </row>
    <row r="61" spans="1:2">
      <c r="A61" t="s">
        <v>66</v>
      </c>
      <c r="B61">
        <v>2</v>
      </c>
    </row>
    <row r="62" spans="1:2">
      <c r="A62" t="s">
        <v>64</v>
      </c>
      <c r="B62">
        <v>1</v>
      </c>
    </row>
    <row r="63" spans="1:2">
      <c r="A63" t="s">
        <v>436</v>
      </c>
      <c r="B63" t="b">
        <v>0</v>
      </c>
    </row>
    <row r="64" spans="1:2">
      <c r="A64" t="s">
        <v>88</v>
      </c>
      <c r="B64">
        <v>50</v>
      </c>
    </row>
    <row r="65" spans="1:2">
      <c r="A65" t="s">
        <v>91</v>
      </c>
      <c r="B65">
        <v>100</v>
      </c>
    </row>
    <row r="66" spans="1:2">
      <c r="A66" t="s">
        <v>45</v>
      </c>
      <c r="B66">
        <v>0</v>
      </c>
    </row>
    <row r="67" spans="1:2">
      <c r="A67" t="s">
        <v>437</v>
      </c>
      <c r="B67">
        <v>2</v>
      </c>
    </row>
    <row r="68" spans="1:2">
      <c r="A68" t="s">
        <v>17</v>
      </c>
      <c r="B68">
        <v>1</v>
      </c>
    </row>
    <row r="69" spans="1:2">
      <c r="A69" t="s">
        <v>438</v>
      </c>
      <c r="B69">
        <v>20</v>
      </c>
    </row>
    <row r="70" spans="1:2">
      <c r="A70" t="s">
        <v>439</v>
      </c>
      <c r="B70" t="b">
        <v>0</v>
      </c>
    </row>
    <row r="71" spans="1:2">
      <c r="A71" t="s">
        <v>440</v>
      </c>
      <c r="B71" t="b">
        <v>1</v>
      </c>
    </row>
    <row r="72" spans="1:2">
      <c r="A72" t="s">
        <v>441</v>
      </c>
      <c r="B72">
        <v>0</v>
      </c>
    </row>
    <row r="73" spans="1:2">
      <c r="A73" t="s">
        <v>442</v>
      </c>
      <c r="B73">
        <v>0</v>
      </c>
    </row>
    <row r="74" spans="1:2">
      <c r="A74" t="s">
        <v>443</v>
      </c>
      <c r="B74">
        <v>2</v>
      </c>
    </row>
    <row r="75" spans="1:2">
      <c r="A75" t="s">
        <v>53</v>
      </c>
      <c r="B75">
        <v>0</v>
      </c>
    </row>
    <row r="76" spans="1:2">
      <c r="A76" t="s">
        <v>68</v>
      </c>
      <c r="B76">
        <v>0</v>
      </c>
    </row>
    <row r="77" spans="1:2">
      <c r="A77" t="s">
        <v>10</v>
      </c>
      <c r="B77">
        <v>2</v>
      </c>
    </row>
    <row r="78" spans="1:2">
      <c r="A78" t="s">
        <v>72</v>
      </c>
      <c r="B78">
        <v>1</v>
      </c>
    </row>
    <row r="79" spans="1:2">
      <c r="A79" t="s">
        <v>381</v>
      </c>
      <c r="B79">
        <v>15</v>
      </c>
    </row>
    <row r="80" spans="1:2">
      <c r="A80" t="s">
        <v>326</v>
      </c>
      <c r="B80">
        <v>0</v>
      </c>
    </row>
    <row r="81" spans="1:2">
      <c r="A81" t="s">
        <v>322</v>
      </c>
      <c r="B81">
        <v>4</v>
      </c>
    </row>
    <row r="82" spans="1:2">
      <c r="A82" t="s">
        <v>314</v>
      </c>
      <c r="B82">
        <v>0</v>
      </c>
    </row>
    <row r="83" spans="1:2">
      <c r="A83" t="s">
        <v>444</v>
      </c>
      <c r="B83">
        <v>1</v>
      </c>
    </row>
    <row r="84" spans="1:2">
      <c r="A84" t="s">
        <v>445</v>
      </c>
      <c r="B84" t="s">
        <v>406</v>
      </c>
    </row>
    <row r="85" spans="1:2">
      <c r="A85" t="s">
        <v>348</v>
      </c>
      <c r="B85">
        <v>2500</v>
      </c>
    </row>
    <row r="86" spans="1:2">
      <c r="A86" t="s">
        <v>344</v>
      </c>
      <c r="B86">
        <v>1</v>
      </c>
    </row>
    <row r="87" spans="1:2">
      <c r="A87" t="s">
        <v>350</v>
      </c>
      <c r="B87">
        <v>10</v>
      </c>
    </row>
    <row r="88" spans="1:2">
      <c r="A88" t="s">
        <v>446</v>
      </c>
      <c r="B88">
        <v>0</v>
      </c>
    </row>
    <row r="89" spans="1:2">
      <c r="A89" t="s">
        <v>447</v>
      </c>
      <c r="B89">
        <v>85</v>
      </c>
    </row>
    <row r="90" spans="1:2">
      <c r="A90" t="s">
        <v>448</v>
      </c>
      <c r="B90">
        <v>20</v>
      </c>
    </row>
    <row r="91" spans="1:2">
      <c r="A91" t="s">
        <v>449</v>
      </c>
      <c r="B91">
        <v>140</v>
      </c>
    </row>
    <row r="92" spans="1:2">
      <c r="A92" t="s">
        <v>450</v>
      </c>
      <c r="B92" t="s">
        <v>405</v>
      </c>
    </row>
    <row r="93" spans="1:2">
      <c r="A93" t="s">
        <v>451</v>
      </c>
      <c r="B93">
        <v>4</v>
      </c>
    </row>
    <row r="94" spans="1:2">
      <c r="A94" t="s">
        <v>452</v>
      </c>
      <c r="B94">
        <v>4</v>
      </c>
    </row>
    <row r="95" spans="1:2">
      <c r="A95" t="s">
        <v>453</v>
      </c>
      <c r="B95">
        <v>7</v>
      </c>
    </row>
    <row r="96" spans="1:2">
      <c r="A96" t="s">
        <v>454</v>
      </c>
      <c r="B96">
        <v>200</v>
      </c>
    </row>
    <row r="97" spans="1:2">
      <c r="A97" t="s">
        <v>455</v>
      </c>
      <c r="B97">
        <v>7</v>
      </c>
    </row>
    <row r="98" spans="1:2">
      <c r="A98" t="s">
        <v>456</v>
      </c>
      <c r="B98">
        <v>20</v>
      </c>
    </row>
    <row r="99" spans="1:2">
      <c r="A99" t="s">
        <v>457</v>
      </c>
      <c r="B99">
        <v>300</v>
      </c>
    </row>
    <row r="100" spans="1:2">
      <c r="A100" t="s">
        <v>458</v>
      </c>
      <c r="B100">
        <v>0</v>
      </c>
    </row>
    <row r="101" spans="1:2">
      <c r="A101" t="s">
        <v>367</v>
      </c>
      <c r="B101">
        <v>20</v>
      </c>
    </row>
    <row r="102" spans="1:2">
      <c r="A102" t="s">
        <v>459</v>
      </c>
      <c r="B102">
        <v>1</v>
      </c>
    </row>
    <row r="103" spans="1:2">
      <c r="A103" t="s">
        <v>460</v>
      </c>
      <c r="B103">
        <v>4</v>
      </c>
    </row>
    <row r="104" spans="1:2">
      <c r="A104" t="s">
        <v>461</v>
      </c>
      <c r="B104" t="b">
        <v>0</v>
      </c>
    </row>
    <row r="105" spans="1:2">
      <c r="A105" t="s">
        <v>365</v>
      </c>
      <c r="B105">
        <v>100</v>
      </c>
    </row>
    <row r="106" spans="1:2">
      <c r="A106" t="s">
        <v>363</v>
      </c>
      <c r="B106">
        <v>0</v>
      </c>
    </row>
    <row r="107" spans="1:2">
      <c r="A107" t="s">
        <v>360</v>
      </c>
      <c r="B107">
        <v>100</v>
      </c>
    </row>
    <row r="108" spans="1:2">
      <c r="A108" t="s">
        <v>280</v>
      </c>
      <c r="B108">
        <v>100</v>
      </c>
    </row>
    <row r="109" spans="1:2">
      <c r="A109" t="s">
        <v>401</v>
      </c>
      <c r="B109">
        <v>89</v>
      </c>
    </row>
    <row r="110" spans="1:2">
      <c r="A110" t="s">
        <v>43</v>
      </c>
      <c r="B110">
        <v>60</v>
      </c>
    </row>
    <row r="111" spans="1:2">
      <c r="A111" t="s">
        <v>462</v>
      </c>
      <c r="B111">
        <v>0</v>
      </c>
    </row>
    <row r="112" spans="1:2">
      <c r="A112" t="s">
        <v>463</v>
      </c>
      <c r="B112">
        <v>0</v>
      </c>
    </row>
    <row r="113" spans="1:2">
      <c r="A113" t="s">
        <v>464</v>
      </c>
      <c r="B113">
        <v>0</v>
      </c>
    </row>
    <row r="114" spans="1:2">
      <c r="A114" t="s">
        <v>94</v>
      </c>
      <c r="B114">
        <v>3</v>
      </c>
    </row>
    <row r="115" spans="1:2">
      <c r="A115" t="s">
        <v>98</v>
      </c>
      <c r="B115">
        <v>1</v>
      </c>
    </row>
    <row r="116" spans="1:2">
      <c r="A116" t="s">
        <v>56</v>
      </c>
      <c r="B116">
        <v>1</v>
      </c>
    </row>
    <row r="117" spans="1:2">
      <c r="A117" t="s">
        <v>58</v>
      </c>
      <c r="B117">
        <v>0</v>
      </c>
    </row>
    <row r="118" spans="1:2">
      <c r="A118" t="s">
        <v>465</v>
      </c>
      <c r="B118" t="b">
        <v>1</v>
      </c>
    </row>
    <row r="119" spans="1:2">
      <c r="A119" t="s">
        <v>466</v>
      </c>
      <c r="B119">
        <v>3</v>
      </c>
    </row>
    <row r="120" spans="1:2">
      <c r="A120" t="s">
        <v>337</v>
      </c>
      <c r="B120">
        <v>-5</v>
      </c>
    </row>
    <row r="121" spans="1:2">
      <c r="A121" t="s">
        <v>467</v>
      </c>
      <c r="B121">
        <v>120</v>
      </c>
    </row>
    <row r="122" spans="1:2">
      <c r="A122" t="s">
        <v>372</v>
      </c>
      <c r="B122">
        <v>95</v>
      </c>
    </row>
    <row r="123" spans="1:2">
      <c r="A123" t="s">
        <v>50</v>
      </c>
      <c r="B123">
        <v>2</v>
      </c>
    </row>
    <row r="124" spans="1:2">
      <c r="A124" t="s">
        <v>468</v>
      </c>
      <c r="B124">
        <v>144</v>
      </c>
    </row>
    <row r="125" spans="1:2">
      <c r="A125" t="s">
        <v>469</v>
      </c>
      <c r="B125">
        <v>1</v>
      </c>
    </row>
    <row r="126" spans="1:2">
      <c r="A126" t="s">
        <v>470</v>
      </c>
      <c r="B126">
        <v>40</v>
      </c>
    </row>
    <row r="127" spans="1:2">
      <c r="A127" t="s">
        <v>471</v>
      </c>
      <c r="B127">
        <v>1</v>
      </c>
    </row>
    <row r="128" spans="1:2">
      <c r="A128" t="s">
        <v>472</v>
      </c>
      <c r="B128">
        <v>0</v>
      </c>
    </row>
    <row r="129" spans="1:2">
      <c r="A129" t="s">
        <v>473</v>
      </c>
      <c r="B129">
        <v>1</v>
      </c>
    </row>
    <row r="130" spans="1:2">
      <c r="A130" t="s">
        <v>474</v>
      </c>
      <c r="B130">
        <v>2</v>
      </c>
    </row>
    <row r="131" spans="1:2">
      <c r="A131" t="s">
        <v>475</v>
      </c>
      <c r="B131">
        <v>13</v>
      </c>
    </row>
    <row r="132" spans="1:2">
      <c r="A132" t="s">
        <v>476</v>
      </c>
      <c r="B132">
        <v>19</v>
      </c>
    </row>
    <row r="133" spans="1:2">
      <c r="A133" t="s">
        <v>477</v>
      </c>
      <c r="B133">
        <v>13</v>
      </c>
    </row>
    <row r="134" spans="1:2">
      <c r="A134" t="s">
        <v>478</v>
      </c>
      <c r="B134">
        <v>1</v>
      </c>
    </row>
    <row r="135" spans="1:2">
      <c r="A135" t="s">
        <v>479</v>
      </c>
      <c r="B135">
        <v>9</v>
      </c>
    </row>
    <row r="136" spans="1:2">
      <c r="A136" t="s">
        <v>480</v>
      </c>
      <c r="B136">
        <v>14</v>
      </c>
    </row>
    <row r="137" spans="1:2">
      <c r="A137" t="s">
        <v>481</v>
      </c>
      <c r="B137">
        <v>0</v>
      </c>
    </row>
    <row r="138" spans="1:2">
      <c r="A138" t="s">
        <v>482</v>
      </c>
      <c r="B138">
        <v>1</v>
      </c>
    </row>
    <row r="139" spans="1:2">
      <c r="A139" t="s">
        <v>483</v>
      </c>
      <c r="B139">
        <v>1</v>
      </c>
    </row>
    <row r="140" spans="1:2">
      <c r="A140" t="s">
        <v>484</v>
      </c>
      <c r="B140">
        <v>0</v>
      </c>
    </row>
    <row r="141" spans="1:2">
      <c r="A141" t="s">
        <v>485</v>
      </c>
      <c r="B141">
        <v>0</v>
      </c>
    </row>
    <row r="142" spans="1:2">
      <c r="A142" t="s">
        <v>70</v>
      </c>
      <c r="B142">
        <v>1</v>
      </c>
    </row>
    <row r="143" spans="1:2">
      <c r="A143" t="s">
        <v>38</v>
      </c>
      <c r="B143">
        <v>80</v>
      </c>
    </row>
    <row r="144" spans="1:2">
      <c r="A144" t="s">
        <v>41</v>
      </c>
      <c r="B144">
        <v>100</v>
      </c>
    </row>
    <row r="145" spans="1:2">
      <c r="A145" t="s">
        <v>35</v>
      </c>
      <c r="B145">
        <v>0</v>
      </c>
    </row>
    <row r="146" spans="1:2">
      <c r="A146" t="s">
        <v>340</v>
      </c>
      <c r="B146">
        <v>0</v>
      </c>
    </row>
    <row r="147" spans="1:2">
      <c r="A147" t="s">
        <v>334</v>
      </c>
      <c r="B147">
        <v>100</v>
      </c>
    </row>
    <row r="148" spans="1:2">
      <c r="A148" t="s">
        <v>378</v>
      </c>
      <c r="B148">
        <v>500</v>
      </c>
    </row>
    <row r="149" spans="1:2">
      <c r="A149" t="s">
        <v>375</v>
      </c>
      <c r="B149">
        <v>0</v>
      </c>
    </row>
    <row r="150" spans="1:2">
      <c r="A150" t="s">
        <v>486</v>
      </c>
      <c r="B150">
        <v>25</v>
      </c>
    </row>
    <row r="151" spans="1:2">
      <c r="A151" t="s">
        <v>75</v>
      </c>
      <c r="B151">
        <v>75</v>
      </c>
    </row>
    <row r="152" spans="1:2">
      <c r="A152" t="s">
        <v>79</v>
      </c>
      <c r="B152">
        <v>85</v>
      </c>
    </row>
    <row r="153" spans="1:2">
      <c r="A153" t="s">
        <v>82</v>
      </c>
      <c r="B153">
        <v>100</v>
      </c>
    </row>
    <row r="154" spans="1:2">
      <c r="A154" t="s">
        <v>85</v>
      </c>
      <c r="B154">
        <v>120</v>
      </c>
    </row>
    <row r="155" spans="1:2">
      <c r="A155" t="s">
        <v>102</v>
      </c>
      <c r="B155">
        <v>2</v>
      </c>
    </row>
    <row r="156" spans="1:2">
      <c r="A156" t="s">
        <v>487</v>
      </c>
      <c r="B156">
        <v>350</v>
      </c>
    </row>
    <row r="157" spans="1:2">
      <c r="A157" t="s">
        <v>276</v>
      </c>
      <c r="B157">
        <v>2</v>
      </c>
    </row>
    <row r="158" spans="1:2">
      <c r="A158" t="s">
        <v>304</v>
      </c>
      <c r="B158">
        <v>30</v>
      </c>
    </row>
    <row r="159" spans="1:2">
      <c r="A159" t="s">
        <v>300</v>
      </c>
      <c r="B159">
        <v>30</v>
      </c>
    </row>
    <row r="160" spans="1:2">
      <c r="A160" t="s">
        <v>369</v>
      </c>
      <c r="B160">
        <v>5</v>
      </c>
    </row>
  </sheetData>
  <sortState xmlns:xlrd2="http://schemas.microsoft.com/office/spreadsheetml/2017/richdata2" ref="A1:B160">
    <sortCondition ref="A1:A160"/>
  </sortState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8037837903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29EAEC-EDAD-4B8B-A3B6-258437D2185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CP設定檔(2023 IONIQ5)_backup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Chen</dc:creator>
  <cp:lastModifiedBy>tw.sales arigobio</cp:lastModifiedBy>
  <dcterms:created xsi:type="dcterms:W3CDTF">2018-06-04T00:28:00Z</dcterms:created>
  <dcterms:modified xsi:type="dcterms:W3CDTF">2026-05-15T01:19:50Z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2052-12.9.0.25965</vt:lpwstr>
  </property>
  <property fmtid="{D5CDD505-2E9C-101B-9397-08002B2CF9AE}" pid="3" name="CalculationRule">
    <vt:i4>0</vt:i4>
  </property>
  <property fmtid="{D5CDD505-2E9C-101B-9397-08002B2CF9AE}" pid="4" name="ICV">
    <vt:lpwstr>80FF1F4ED230E13F645EDA693091AA97_42</vt:lpwstr>
  </property>
</Properties>
</file>